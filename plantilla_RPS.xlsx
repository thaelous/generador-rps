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f64118406e9f8d7/Imágenes/Desktop/"/>
    </mc:Choice>
  </mc:AlternateContent>
  <xr:revisionPtr revIDLastSave="0" documentId="8_{83FECA09-C842-4259-96B4-B5AA3D1955DD}" xr6:coauthVersionLast="47" xr6:coauthVersionMax="47" xr10:uidLastSave="{00000000-0000-0000-0000-000000000000}"/>
  <bookViews>
    <workbookView xWindow="-103" yWindow="-103" windowWidth="16663" windowHeight="8743" xr2:uid="{00000000-000D-0000-FFFF-FFFF00000000}"/>
  </bookViews>
  <sheets>
    <sheet name="3151" sheetId="1" r:id="rId1"/>
    <sheet name="F7-01-23 Explicacion" sheetId="3" state="hidden" r:id="rId2"/>
    <sheet name="Service" sheetId="2" state="hidden" r:id="rId3"/>
  </sheets>
  <definedNames>
    <definedName name="_xlnm._FilterDatabase" localSheetId="2" hidden="1">Service!$A$1:$C$20</definedName>
    <definedName name="_xlnm.Print_Area" localSheetId="0">'3151'!$A$1:$AH$33</definedName>
    <definedName name="_xlnm.Print_Area" localSheetId="1">'F7-01-23 Explicacion'!$A$1:$P$33</definedName>
    <definedName name="Z_6FA9088C_BFF6_480D_BC9C_94215DF22376_.wvu.PrintArea" localSheetId="0" hidden="1">'3151'!$A$1:$N$32</definedName>
    <definedName name="Z_6FA9088C_BFF6_480D_BC9C_94215DF22376_.wvu.PrintArea" localSheetId="1" hidden="1">'F7-01-23 Explicacion'!$A$1:$N$32</definedName>
  </definedNames>
  <calcPr calcId="191029"/>
  <customWorkbookViews>
    <customWorkbookView name="Replacement Packing Slip" guid="{6FA9088C-BFF6-480D-BC9C-94215DF22376}" maximized="1" windowWidth="1020" windowHeight="579" activeSheetId="1" showComments="commIndAndComment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5" i="3" l="1"/>
  <c r="K29" i="3" s="1"/>
  <c r="E25" i="3"/>
  <c r="E25" i="1" l="1"/>
  <c r="F25" i="1" s="1"/>
</calcChain>
</file>

<file path=xl/sharedStrings.xml><?xml version="1.0" encoding="utf-8"?>
<sst xmlns="http://schemas.openxmlformats.org/spreadsheetml/2006/main" count="123" uniqueCount="87">
  <si>
    <t>REPLACEMENT PACKING SLIP</t>
  </si>
  <si>
    <t>SERVICIOS</t>
  </si>
  <si>
    <t>Entrenamiento</t>
  </si>
  <si>
    <t>Servicio Tecnico</t>
  </si>
  <si>
    <t>Pintura</t>
  </si>
  <si>
    <t>Personal para sorteo</t>
  </si>
  <si>
    <t>Personal de Outsourcing</t>
  </si>
  <si>
    <t>Flete por expeditados</t>
  </si>
  <si>
    <t>Limpieza</t>
  </si>
  <si>
    <t>Jardinería</t>
  </si>
  <si>
    <t>Renta de Inmueble</t>
  </si>
  <si>
    <t>Agua Potable</t>
  </si>
  <si>
    <t>Lista de Asistencia</t>
  </si>
  <si>
    <t>Reporte de máquina ok</t>
  </si>
  <si>
    <t>Hoja de Horas laboradas</t>
  </si>
  <si>
    <t>Digitalización</t>
  </si>
  <si>
    <t>Servicio de Luz/Agua</t>
  </si>
  <si>
    <t>Comedor (Servicio y reparación)</t>
  </si>
  <si>
    <t>Fumigacion</t>
  </si>
  <si>
    <t>Fotos antes y después</t>
  </si>
  <si>
    <t>Lista de asistencia</t>
  </si>
  <si>
    <t>Transporte de personal (Taxi y autobuses)</t>
  </si>
  <si>
    <t>Reporte de rutas realizadas</t>
  </si>
  <si>
    <t>Checada usuarios/fotos antes y después</t>
  </si>
  <si>
    <t>Asistencia firmada</t>
  </si>
  <si>
    <t>Renta Vehículos Industriales/Báscula/Etc</t>
  </si>
  <si>
    <t>Registro de ingreso a planta</t>
  </si>
  <si>
    <t>Recibo con cant de grrafones</t>
  </si>
  <si>
    <t>Copia de Recibo</t>
  </si>
  <si>
    <t>Renta/Serivcio Camionetas</t>
  </si>
  <si>
    <t>Recibo del proveedor</t>
  </si>
  <si>
    <t xml:space="preserve">Fotos </t>
  </si>
  <si>
    <t>Detalle de areas fuigadas</t>
  </si>
  <si>
    <t>Reporte de avance</t>
  </si>
  <si>
    <t>Maquinaria/Tooling/Refacciones/Expense</t>
  </si>
  <si>
    <t>APROBADOR</t>
  </si>
  <si>
    <t>YES</t>
  </si>
  <si>
    <t>NO</t>
  </si>
  <si>
    <t>Servicios Generales</t>
  </si>
  <si>
    <t>DOCUMENTACIÓN PARA EL APROBADOR</t>
  </si>
  <si>
    <r>
      <t>INSTRUCCIONES:</t>
    </r>
    <r>
      <rPr>
        <sz val="12"/>
        <rFont val="Arial"/>
        <family val="2"/>
      </rPr>
      <t xml:space="preserve">  TODOS LOS CAMPOS SOMBREADOS DEBEN SER LLENADOS PARA PODER PROCEDER CON EL RECIBO.</t>
    </r>
  </si>
  <si>
    <t>ES NECESARIO ADJUNTAR LA FACTURA A ESTE DOCUMENTO</t>
  </si>
  <si>
    <t xml:space="preserve">ORDEN DE COMPRA #: </t>
  </si>
  <si>
    <t>NOMBRE DE PROVEEDOR:</t>
  </si>
  <si>
    <t>FACTURA #</t>
  </si>
  <si>
    <t>TIPO DE SERVICIO A RECIBIR:</t>
  </si>
  <si>
    <t># DE LINEA EN PO</t>
  </si>
  <si>
    <t>CANTIDAD</t>
  </si>
  <si>
    <t>UNIDAD DE MEDIDA</t>
  </si>
  <si>
    <t>MONTO A RECIBIR $</t>
  </si>
  <si>
    <t>TIPO DE MONEDA</t>
  </si>
  <si>
    <t>DESCRIPCIÓN DE LA LINEA A RECIBIR</t>
  </si>
  <si>
    <t>RECIBIR LINEA COMPLETA?</t>
  </si>
  <si>
    <t>MONTO TOTAL A RECIBIR:</t>
  </si>
  <si>
    <t>SOLICITANTE:</t>
  </si>
  <si>
    <t>APROBADOR:</t>
  </si>
  <si>
    <t>Asociado de AAM - Nombre completo y Firma</t>
  </si>
  <si>
    <t>Gerente del Solicitante - Nombre completo y Firma</t>
  </si>
  <si>
    <t>MANDATORIO PARA RECIBOS MAYORES A $10,000 USD</t>
  </si>
  <si>
    <t>APROBADOR POR TIPO DE SERVICIO:</t>
  </si>
  <si>
    <t>Nombre completo y Firma</t>
  </si>
  <si>
    <t>** Usuario debe asegurar que el monto total a recibir en RPS coincida con el monto total de la factura</t>
  </si>
  <si>
    <t>Aprobacion de Logística</t>
  </si>
  <si>
    <t>Aprobacion de director</t>
  </si>
  <si>
    <t>Evidencia según corresponda el servicio</t>
  </si>
  <si>
    <t>Coordinador Site de Entrenamiento / Sr. Manager</t>
  </si>
  <si>
    <t>Director Site de Mantenimiento / Sr. Manager</t>
  </si>
  <si>
    <t>Director Site de Calidad / Sr. Manager</t>
  </si>
  <si>
    <t>Director de Departamento/ Sr. Manager/ Sr. Manager</t>
  </si>
  <si>
    <t>Coordinador Site de Transporte/ Sr. Manager</t>
  </si>
  <si>
    <t>Director Site de Recursos Humanos/ Sr. Manager</t>
  </si>
  <si>
    <t>Director Site de Mantenimiento/ Sr. Manager</t>
  </si>
  <si>
    <t>Director de Departamento/ Sr. Manager</t>
  </si>
  <si>
    <t>Director Site de SCM/ Sr. Manager</t>
  </si>
  <si>
    <t>REPLACEMENT PACKING SLIP EVIDENCE</t>
  </si>
  <si>
    <t>FOTOS DEL ANTES</t>
  </si>
  <si>
    <t>FOTOS DEL DESPUES</t>
  </si>
  <si>
    <r>
      <t>INSTRUCCIONES:</t>
    </r>
    <r>
      <rPr>
        <sz val="12"/>
        <rFont val="Arial"/>
        <family val="2"/>
      </rPr>
      <t xml:space="preserve"> LAS FOTOS DEBEN ESTAR DEL TAMAÑO DEL RECUADRO MARCADO Y RESOLUCION DE CALIDAD</t>
    </r>
  </si>
  <si>
    <r>
      <rPr>
        <b/>
        <sz val="11"/>
        <rFont val="Arial"/>
        <family val="2"/>
      </rPr>
      <t>NOTA:</t>
    </r>
    <r>
      <rPr>
        <sz val="11"/>
        <rFont val="Arial"/>
        <family val="2"/>
      </rPr>
      <t xml:space="preserve"> SOLO APLICA PARA SERVICIOS</t>
    </r>
  </si>
  <si>
    <t>Laura Maciel Hernández 014036</t>
  </si>
  <si>
    <t>COMUNICACIÓN GLOBAL, EDICIONES Y MEDIOS S DE RL DE CV</t>
  </si>
  <si>
    <t>LOT</t>
  </si>
  <si>
    <t>MXM</t>
  </si>
  <si>
    <t>NO APLICA</t>
  </si>
  <si>
    <t>FERNANDEZ
SANTOYO,MARIA KARLA</t>
  </si>
  <si>
    <t xml:space="preserve">Training Habilidades Avanzadas de Manejo y Prevención de Emboscadas Solicitud n.º 1670804 </t>
  </si>
  <si>
    <t>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</si>
</sst>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80A]#,##0.00"/>
  </numFmts>
  <fonts count="27" x14ac:knownFonts="1">
    <font>
      <sz val="10"/>
      <name val="Arial"/>
    </font>
    <font>
      <b/>
      <sz val="1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sz val="10"/>
      <color indexed="10"/>
      <name val="Arial"/>
      <family val="2"/>
    </font>
    <font>
      <b/>
      <sz val="2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u/>
      <sz val="9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8"/>
      <name val="Arial"/>
      <family val="2"/>
    </font>
    <font>
      <i/>
      <u/>
      <sz val="16"/>
      <name val="Arial"/>
      <family val="2"/>
    </font>
    <font>
      <b/>
      <sz val="10"/>
      <color theme="0"/>
      <name val="Arial"/>
      <family val="2"/>
    </font>
    <font>
      <b/>
      <sz val="22"/>
      <color theme="3"/>
      <name val="Arial"/>
      <family val="2"/>
    </font>
    <font>
      <b/>
      <sz val="14"/>
      <color theme="3"/>
      <name val="Arial"/>
      <family val="2"/>
    </font>
    <font>
      <b/>
      <sz val="16"/>
      <color theme="3"/>
      <name val="Arial"/>
      <family val="2"/>
    </font>
    <font>
      <b/>
      <sz val="18"/>
      <name val="Arial"/>
      <family val="2"/>
    </font>
    <font>
      <b/>
      <sz val="26"/>
      <name val="Arial"/>
      <family val="2"/>
    </font>
    <font>
      <sz val="10"/>
      <color theme="0"/>
      <name val="Arial"/>
      <family val="2"/>
    </font>
    <font>
      <sz val="11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90">
    <xf numFmtId="0" fontId="0" fillId="0" borderId="0" xfId="0"/>
    <xf numFmtId="0" fontId="5" fillId="0" borderId="6" xfId="0" applyFont="1" applyBorder="1" applyProtection="1">
      <protection locked="0"/>
    </xf>
    <xf numFmtId="0" fontId="5" fillId="0" borderId="7" xfId="0" applyFont="1" applyBorder="1" applyProtection="1">
      <protection locked="0"/>
    </xf>
    <xf numFmtId="0" fontId="0" fillId="0" borderId="7" xfId="0" applyBorder="1" applyProtection="1">
      <protection locked="0"/>
    </xf>
    <xf numFmtId="0" fontId="5" fillId="0" borderId="3" xfId="0" applyFont="1" applyBorder="1" applyProtection="1">
      <protection locked="0"/>
    </xf>
    <xf numFmtId="0" fontId="5" fillId="0" borderId="0" xfId="0" applyFont="1" applyProtection="1">
      <protection locked="0"/>
    </xf>
    <xf numFmtId="0" fontId="5" fillId="0" borderId="30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31" xfId="0" applyFont="1" applyBorder="1" applyAlignment="1" applyProtection="1">
      <alignment horizontal="center" vertical="center" wrapText="1"/>
      <protection locked="0"/>
    </xf>
    <xf numFmtId="0" fontId="2" fillId="0" borderId="0" xfId="0" applyFont="1" applyProtection="1">
      <protection locked="0"/>
    </xf>
    <xf numFmtId="0" fontId="7" fillId="0" borderId="5" xfId="0" applyFont="1" applyBorder="1" applyProtection="1">
      <protection locked="0"/>
    </xf>
    <xf numFmtId="0" fontId="7" fillId="0" borderId="0" xfId="0" applyFont="1" applyProtection="1"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5" fillId="0" borderId="4" xfId="0" applyFont="1" applyBorder="1" applyProtection="1">
      <protection locked="0"/>
    </xf>
    <xf numFmtId="0" fontId="7" fillId="0" borderId="7" xfId="0" applyFont="1" applyBorder="1" applyProtection="1"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wrapText="1"/>
      <protection locked="0"/>
    </xf>
    <xf numFmtId="0" fontId="11" fillId="0" borderId="0" xfId="0" applyFont="1" applyAlignment="1" applyProtection="1">
      <alignment horizontal="right"/>
      <protection locked="0"/>
    </xf>
    <xf numFmtId="0" fontId="0" fillId="0" borderId="0" xfId="0" applyProtection="1">
      <protection locked="0"/>
    </xf>
    <xf numFmtId="0" fontId="11" fillId="0" borderId="0" xfId="0" applyFont="1" applyAlignment="1" applyProtection="1">
      <alignment horizontal="center" wrapText="1"/>
      <protection locked="0"/>
    </xf>
    <xf numFmtId="0" fontId="11" fillId="0" borderId="4" xfId="0" applyFont="1" applyBorder="1" applyAlignment="1" applyProtection="1">
      <alignment horizontal="center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11" fillId="0" borderId="0" xfId="0" applyFont="1" applyAlignment="1" applyProtection="1">
      <alignment horizontal="left" vertical="top"/>
      <protection locked="0"/>
    </xf>
    <xf numFmtId="0" fontId="12" fillId="0" borderId="0" xfId="0" applyFont="1" applyAlignment="1" applyProtection="1">
      <alignment horizontal="left" vertical="center"/>
      <protection locked="0"/>
    </xf>
    <xf numFmtId="0" fontId="11" fillId="0" borderId="4" xfId="0" applyFont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4" fillId="0" borderId="9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5" fillId="0" borderId="9" xfId="0" applyFont="1" applyBorder="1" applyAlignment="1" applyProtection="1">
      <alignment horizontal="left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 applyProtection="1">
      <alignment horizontal="center" vertical="center" wrapText="1"/>
      <protection locked="0"/>
    </xf>
    <xf numFmtId="0" fontId="15" fillId="0" borderId="15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5" fillId="2" borderId="16" xfId="0" applyFont="1" applyFill="1" applyBorder="1" applyProtection="1">
      <protection locked="0"/>
    </xf>
    <xf numFmtId="0" fontId="5" fillId="2" borderId="11" xfId="0" applyFont="1" applyFill="1" applyBorder="1" applyProtection="1">
      <protection locked="0"/>
    </xf>
    <xf numFmtId="0" fontId="5" fillId="2" borderId="17" xfId="0" applyFont="1" applyFill="1" applyBorder="1" applyProtection="1">
      <protection locked="0"/>
    </xf>
    <xf numFmtId="0" fontId="5" fillId="2" borderId="18" xfId="0" applyFont="1" applyFill="1" applyBorder="1" applyProtection="1">
      <protection locked="0"/>
    </xf>
    <xf numFmtId="0" fontId="5" fillId="2" borderId="19" xfId="0" applyFont="1" applyFill="1" applyBorder="1" applyProtection="1">
      <protection locked="0"/>
    </xf>
    <xf numFmtId="0" fontId="5" fillId="2" borderId="20" xfId="0" applyFont="1" applyFill="1" applyBorder="1" applyProtection="1">
      <protection locked="0"/>
    </xf>
    <xf numFmtId="0" fontId="7" fillId="4" borderId="12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5" fillId="0" borderId="5" xfId="0" applyFont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3" fillId="0" borderId="0" xfId="0" applyFont="1" applyAlignment="1" applyProtection="1">
      <alignment horizontal="center"/>
      <protection locked="0"/>
    </xf>
    <xf numFmtId="0" fontId="5" fillId="0" borderId="5" xfId="0" applyFont="1" applyBorder="1" applyAlignment="1" applyProtection="1">
      <alignment horizontal="right"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14" fillId="0" borderId="5" xfId="0" applyFont="1" applyBorder="1" applyProtection="1">
      <protection locked="0"/>
    </xf>
    <xf numFmtId="0" fontId="14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13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9" fillId="0" borderId="5" xfId="0" applyFont="1" applyBorder="1" applyProtection="1">
      <protection locked="0"/>
    </xf>
    <xf numFmtId="0" fontId="9" fillId="0" borderId="0" xfId="0" applyFont="1" applyProtection="1"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5" fillId="0" borderId="8" xfId="0" applyFont="1" applyBorder="1" applyProtection="1">
      <protection locked="0"/>
    </xf>
    <xf numFmtId="0" fontId="5" fillId="0" borderId="9" xfId="0" applyFont="1" applyBorder="1" applyProtection="1">
      <protection locked="0"/>
    </xf>
    <xf numFmtId="0" fontId="17" fillId="0" borderId="0" xfId="0" applyFont="1" applyAlignment="1" applyProtection="1">
      <alignment horizontal="left" wrapText="1"/>
      <protection locked="0"/>
    </xf>
    <xf numFmtId="0" fontId="0" fillId="0" borderId="4" xfId="0" applyBorder="1" applyProtection="1">
      <protection locked="0"/>
    </xf>
    <xf numFmtId="0" fontId="5" fillId="0" borderId="10" xfId="0" applyFont="1" applyBorder="1" applyProtection="1">
      <protection locked="0"/>
    </xf>
    <xf numFmtId="0" fontId="18" fillId="3" borderId="11" xfId="0" applyFont="1" applyFill="1" applyBorder="1" applyAlignment="1">
      <alignment horizontal="center"/>
    </xf>
    <xf numFmtId="0" fontId="14" fillId="0" borderId="11" xfId="0" applyFont="1" applyBorder="1"/>
    <xf numFmtId="0" fontId="14" fillId="4" borderId="11" xfId="0" applyFont="1" applyFill="1" applyBorder="1"/>
    <xf numFmtId="0" fontId="24" fillId="0" borderId="0" xfId="0" applyFont="1" applyProtection="1">
      <protection locked="0"/>
    </xf>
    <xf numFmtId="0" fontId="11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right" vertical="center" wrapText="1"/>
      <protection locked="0"/>
    </xf>
    <xf numFmtId="0" fontId="3" fillId="0" borderId="0" xfId="0" applyFont="1" applyAlignment="1" applyProtection="1">
      <alignment horizontal="right" vertical="center" wrapText="1"/>
      <protection locked="0"/>
    </xf>
    <xf numFmtId="0" fontId="11" fillId="0" borderId="5" xfId="0" applyFont="1" applyBorder="1" applyAlignment="1" applyProtection="1">
      <alignment horizontal="center"/>
      <protection locked="0"/>
    </xf>
    <xf numFmtId="0" fontId="11" fillId="0" borderId="4" xfId="0" applyFont="1" applyBorder="1" applyAlignment="1" applyProtection="1">
      <alignment horizontal="center" wrapText="1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0" fontId="13" fillId="0" borderId="5" xfId="0" applyFont="1" applyBorder="1" applyProtection="1">
      <protection locked="0"/>
    </xf>
    <xf numFmtId="0" fontId="1" fillId="0" borderId="5" xfId="0" applyFont="1" applyBorder="1" applyProtection="1">
      <protection locked="0"/>
    </xf>
    <xf numFmtId="0" fontId="14" fillId="0" borderId="4" xfId="0" applyFont="1" applyBorder="1" applyProtection="1">
      <protection locked="0"/>
    </xf>
    <xf numFmtId="0" fontId="5" fillId="0" borderId="34" xfId="0" applyFont="1" applyBorder="1" applyProtection="1">
      <protection locked="0"/>
    </xf>
    <xf numFmtId="0" fontId="5" fillId="0" borderId="29" xfId="0" applyFont="1" applyBorder="1" applyProtection="1">
      <protection locked="0"/>
    </xf>
    <xf numFmtId="0" fontId="0" fillId="0" borderId="29" xfId="0" applyBorder="1" applyProtection="1">
      <protection locked="0"/>
    </xf>
    <xf numFmtId="0" fontId="5" fillId="0" borderId="35" xfId="0" applyFont="1" applyBorder="1" applyProtection="1">
      <protection locked="0"/>
    </xf>
    <xf numFmtId="0" fontId="2" fillId="0" borderId="30" xfId="0" applyFont="1" applyBorder="1" applyProtection="1">
      <protection locked="0"/>
    </xf>
    <xf numFmtId="0" fontId="2" fillId="0" borderId="31" xfId="0" applyFont="1" applyBorder="1" applyProtection="1">
      <protection locked="0"/>
    </xf>
    <xf numFmtId="0" fontId="2" fillId="0" borderId="44" xfId="0" applyFont="1" applyBorder="1" applyProtection="1">
      <protection locked="0"/>
    </xf>
    <xf numFmtId="0" fontId="2" fillId="0" borderId="45" xfId="0" applyFont="1" applyBorder="1" applyAlignment="1" applyProtection="1">
      <alignment horizontal="center"/>
      <protection locked="0"/>
    </xf>
    <xf numFmtId="0" fontId="2" fillId="0" borderId="45" xfId="0" applyFont="1" applyBorder="1" applyProtection="1">
      <protection locked="0"/>
    </xf>
    <xf numFmtId="0" fontId="2" fillId="0" borderId="46" xfId="0" applyFont="1" applyBorder="1" applyProtection="1">
      <protection locked="0"/>
    </xf>
    <xf numFmtId="0" fontId="5" fillId="2" borderId="11" xfId="0" applyFont="1" applyFill="1" applyBorder="1" applyAlignment="1" applyProtection="1">
      <alignment horizontal="center" vertical="center"/>
      <protection locked="0"/>
    </xf>
    <xf numFmtId="164" fontId="5" fillId="2" borderId="11" xfId="0" applyNumberFormat="1" applyFont="1" applyFill="1" applyBorder="1" applyAlignment="1" applyProtection="1">
      <alignment horizontal="center" vertical="center"/>
      <protection locked="0"/>
    </xf>
    <xf numFmtId="164" fontId="7" fillId="4" borderId="12" xfId="0" applyNumberFormat="1" applyFont="1" applyFill="1" applyBorder="1" applyAlignment="1" applyProtection="1">
      <alignment horizontal="center" vertical="center"/>
      <protection locked="0"/>
    </xf>
    <xf numFmtId="49" fontId="5" fillId="2" borderId="16" xfId="0" applyNumberFormat="1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/>
      <protection locked="0"/>
    </xf>
    <xf numFmtId="49" fontId="5" fillId="2" borderId="16" xfId="0" applyNumberFormat="1" applyFont="1" applyFill="1" applyBorder="1" applyAlignment="1" applyProtection="1">
      <alignment horizontal="center"/>
      <protection locked="0"/>
    </xf>
    <xf numFmtId="0" fontId="25" fillId="0" borderId="45" xfId="0" applyFont="1" applyBorder="1" applyAlignment="1" applyProtection="1">
      <alignment horizontal="center"/>
      <protection locked="0"/>
    </xf>
    <xf numFmtId="0" fontId="5" fillId="0" borderId="37" xfId="0" applyFont="1" applyBorder="1" applyAlignment="1" applyProtection="1">
      <alignment horizontal="center"/>
      <protection locked="0"/>
    </xf>
    <xf numFmtId="0" fontId="5" fillId="0" borderId="36" xfId="0" applyFont="1" applyBorder="1" applyAlignment="1" applyProtection="1">
      <alignment horizontal="center"/>
      <protection locked="0"/>
    </xf>
    <xf numFmtId="0" fontId="5" fillId="0" borderId="38" xfId="0" applyFont="1" applyBorder="1" applyAlignment="1" applyProtection="1">
      <alignment horizontal="center"/>
      <protection locked="0"/>
    </xf>
    <xf numFmtId="0" fontId="5" fillId="0" borderId="39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40" xfId="0" applyFont="1" applyBorder="1" applyAlignment="1" applyProtection="1">
      <alignment horizontal="center"/>
      <protection locked="0"/>
    </xf>
    <xf numFmtId="0" fontId="5" fillId="0" borderId="41" xfId="0" applyFont="1" applyBorder="1" applyAlignment="1" applyProtection="1">
      <alignment horizontal="center"/>
      <protection locked="0"/>
    </xf>
    <xf numFmtId="0" fontId="5" fillId="0" borderId="42" xfId="0" applyFont="1" applyBorder="1" applyAlignment="1" applyProtection="1">
      <alignment horizontal="center"/>
      <protection locked="0"/>
    </xf>
    <xf numFmtId="0" fontId="5" fillId="0" borderId="43" xfId="0" applyFont="1" applyBorder="1" applyAlignment="1" applyProtection="1">
      <alignment horizontal="center"/>
      <protection locked="0"/>
    </xf>
    <xf numFmtId="0" fontId="23" fillId="0" borderId="29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23" fillId="0" borderId="7" xfId="0" applyFont="1" applyBorder="1" applyAlignment="1" applyProtection="1">
      <alignment horizontal="center" vertical="center" wrapText="1"/>
      <protection locked="0"/>
    </xf>
    <xf numFmtId="0" fontId="16" fillId="2" borderId="21" xfId="0" applyFont="1" applyFill="1" applyBorder="1" applyAlignment="1" applyProtection="1">
      <alignment horizontal="left"/>
      <protection locked="0"/>
    </xf>
    <xf numFmtId="0" fontId="16" fillId="2" borderId="22" xfId="0" applyFont="1" applyFill="1" applyBorder="1" applyAlignment="1" applyProtection="1">
      <alignment horizontal="left"/>
      <protection locked="0"/>
    </xf>
    <xf numFmtId="0" fontId="16" fillId="2" borderId="23" xfId="0" applyFont="1" applyFill="1" applyBorder="1" applyAlignment="1" applyProtection="1">
      <alignment horizontal="left"/>
      <protection locked="0"/>
    </xf>
    <xf numFmtId="0" fontId="19" fillId="2" borderId="21" xfId="0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top"/>
      <protection locked="0"/>
    </xf>
    <xf numFmtId="0" fontId="5" fillId="2" borderId="19" xfId="0" applyFont="1" applyFill="1" applyBorder="1" applyAlignment="1" applyProtection="1">
      <alignment horizontal="center"/>
      <protection locked="0"/>
    </xf>
    <xf numFmtId="0" fontId="5" fillId="2" borderId="11" xfId="0" applyFont="1" applyFill="1" applyBorder="1" applyAlignment="1" applyProtection="1">
      <alignment horizontal="center" vertical="center" wrapText="1"/>
      <protection locked="0"/>
    </xf>
    <xf numFmtId="0" fontId="5" fillId="2" borderId="11" xfId="0" applyFont="1" applyFill="1" applyBorder="1" applyAlignment="1" applyProtection="1">
      <alignment horizontal="center" vertical="center"/>
      <protection locked="0"/>
    </xf>
    <xf numFmtId="0" fontId="5" fillId="2" borderId="25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/>
      <protection locked="0"/>
    </xf>
    <xf numFmtId="0" fontId="5" fillId="2" borderId="21" xfId="0" applyFont="1" applyFill="1" applyBorder="1" applyAlignment="1" applyProtection="1">
      <alignment horizontal="center" wrapText="1"/>
      <protection locked="0"/>
    </xf>
    <xf numFmtId="0" fontId="5" fillId="2" borderId="22" xfId="0" applyFont="1" applyFill="1" applyBorder="1" applyAlignment="1" applyProtection="1">
      <alignment horizontal="center"/>
      <protection locked="0"/>
    </xf>
    <xf numFmtId="0" fontId="5" fillId="2" borderId="23" xfId="0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0" borderId="4" xfId="0" applyFont="1" applyBorder="1" applyAlignment="1" applyProtection="1">
      <alignment horizontal="center"/>
      <protection locked="0"/>
    </xf>
    <xf numFmtId="0" fontId="19" fillId="2" borderId="21" xfId="0" applyFont="1" applyFill="1" applyBorder="1" applyAlignment="1" applyProtection="1">
      <alignment horizontal="center"/>
      <protection locked="0"/>
    </xf>
    <xf numFmtId="0" fontId="19" fillId="2" borderId="23" xfId="0" applyFont="1" applyFill="1" applyBorder="1" applyAlignment="1" applyProtection="1">
      <alignment horizontal="center"/>
      <protection locked="0"/>
    </xf>
    <xf numFmtId="0" fontId="8" fillId="0" borderId="32" xfId="0" applyFont="1" applyBorder="1" applyAlignment="1" applyProtection="1">
      <alignment horizontal="center"/>
      <protection locked="0"/>
    </xf>
    <xf numFmtId="0" fontId="8" fillId="0" borderId="2" xfId="0" applyFont="1" applyBorder="1" applyAlignment="1" applyProtection="1">
      <alignment horizontal="center"/>
      <protection locked="0"/>
    </xf>
    <xf numFmtId="0" fontId="8" fillId="0" borderId="33" xfId="0" applyFont="1" applyBorder="1" applyAlignment="1" applyProtection="1">
      <alignment horizontal="center"/>
      <protection locked="0"/>
    </xf>
    <xf numFmtId="0" fontId="2" fillId="0" borderId="34" xfId="0" applyFont="1" applyBorder="1" applyAlignment="1" applyProtection="1">
      <alignment horizontal="center"/>
      <protection locked="0"/>
    </xf>
    <xf numFmtId="0" fontId="2" fillId="0" borderId="29" xfId="0" applyFont="1" applyBorder="1" applyAlignment="1" applyProtection="1">
      <alignment horizontal="center"/>
      <protection locked="0"/>
    </xf>
    <xf numFmtId="0" fontId="2" fillId="0" borderId="35" xfId="0" applyFont="1" applyBorder="1" applyAlignment="1" applyProtection="1">
      <alignment horizontal="center"/>
      <protection locked="0"/>
    </xf>
    <xf numFmtId="0" fontId="17" fillId="0" borderId="5" xfId="0" applyFont="1" applyBorder="1" applyAlignment="1" applyProtection="1">
      <alignment horizontal="left" wrapText="1"/>
      <protection locked="0"/>
    </xf>
    <xf numFmtId="0" fontId="17" fillId="0" borderId="0" xfId="0" applyFont="1" applyAlignment="1" applyProtection="1">
      <alignment horizontal="left" wrapText="1"/>
      <protection locked="0"/>
    </xf>
    <xf numFmtId="0" fontId="5" fillId="2" borderId="25" xfId="0" applyFont="1" applyFill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0" xfId="0" applyFont="1" applyAlignment="1" applyProtection="1">
      <alignment horizontal="right"/>
      <protection locked="0"/>
    </xf>
    <xf numFmtId="0" fontId="2" fillId="0" borderId="7" xfId="0" applyFont="1" applyBorder="1" applyAlignment="1" applyProtection="1">
      <alignment horizontal="center" vertical="top" wrapText="1"/>
      <protection locked="0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 applyProtection="1">
      <alignment horizontal="center" vertical="center" wrapText="1"/>
      <protection locked="0"/>
    </xf>
    <xf numFmtId="0" fontId="5" fillId="2" borderId="22" xfId="0" applyFont="1" applyFill="1" applyBorder="1" applyAlignment="1" applyProtection="1">
      <alignment horizontal="center" wrapText="1"/>
      <protection locked="0"/>
    </xf>
    <xf numFmtId="0" fontId="5" fillId="2" borderId="23" xfId="0" applyFont="1" applyFill="1" applyBorder="1" applyAlignment="1" applyProtection="1">
      <alignment horizontal="center" wrapText="1"/>
      <protection locked="0"/>
    </xf>
    <xf numFmtId="0" fontId="11" fillId="0" borderId="5" xfId="0" applyFont="1" applyBorder="1" applyAlignment="1" applyProtection="1">
      <alignment horizontal="right"/>
      <protection locked="0"/>
    </xf>
    <xf numFmtId="0" fontId="11" fillId="0" borderId="0" xfId="0" applyFont="1" applyAlignment="1" applyProtection="1">
      <alignment horizontal="right"/>
      <protection locked="0"/>
    </xf>
    <xf numFmtId="0" fontId="11" fillId="0" borderId="4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right" vertical="center" wrapText="1"/>
      <protection locked="0"/>
    </xf>
    <xf numFmtId="0" fontId="3" fillId="0" borderId="0" xfId="0" applyFont="1" applyAlignment="1" applyProtection="1">
      <alignment horizontal="right" vertical="center" wrapText="1"/>
      <protection locked="0"/>
    </xf>
    <xf numFmtId="0" fontId="5" fillId="2" borderId="11" xfId="0" applyFont="1" applyFill="1" applyBorder="1" applyAlignment="1" applyProtection="1">
      <alignment horizontal="center" wrapText="1"/>
      <protection locked="0"/>
    </xf>
    <xf numFmtId="0" fontId="20" fillId="2" borderId="21" xfId="0" applyFont="1" applyFill="1" applyBorder="1" applyAlignment="1">
      <alignment horizontal="center" vertical="center" wrapText="1"/>
    </xf>
    <xf numFmtId="0" fontId="20" fillId="2" borderId="22" xfId="0" applyFont="1" applyFill="1" applyBorder="1" applyAlignment="1">
      <alignment horizontal="center" vertical="center" wrapText="1"/>
    </xf>
    <xf numFmtId="0" fontId="20" fillId="2" borderId="23" xfId="0" applyFont="1" applyFill="1" applyBorder="1" applyAlignment="1">
      <alignment horizontal="center" vertical="center" wrapText="1"/>
    </xf>
    <xf numFmtId="0" fontId="3" fillId="0" borderId="26" xfId="0" applyFont="1" applyBorder="1" applyAlignment="1" applyProtection="1">
      <alignment horizontal="center" vertical="center"/>
      <protection locked="0"/>
    </xf>
    <xf numFmtId="0" fontId="1" fillId="0" borderId="27" xfId="0" applyFont="1" applyBorder="1" applyAlignment="1" applyProtection="1">
      <alignment horizontal="center" vertical="center"/>
      <protection locked="0"/>
    </xf>
    <xf numFmtId="0" fontId="1" fillId="0" borderId="28" xfId="0" applyFont="1" applyBorder="1" applyAlignment="1" applyProtection="1">
      <alignment horizontal="center" vertical="center"/>
      <protection locked="0"/>
    </xf>
    <xf numFmtId="0" fontId="21" fillId="2" borderId="6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2" fillId="0" borderId="6" xfId="0" applyFont="1" applyBorder="1" applyAlignment="1" applyProtection="1">
      <alignment horizontal="center"/>
      <protection locked="0"/>
    </xf>
    <xf numFmtId="0" fontId="22" fillId="0" borderId="7" xfId="0" applyFont="1" applyBorder="1" applyAlignment="1" applyProtection="1">
      <alignment horizontal="center"/>
      <protection locked="0"/>
    </xf>
    <xf numFmtId="0" fontId="22" fillId="0" borderId="3" xfId="0" applyFont="1" applyBorder="1" applyAlignment="1" applyProtection="1">
      <alignment horizontal="center"/>
      <protection locked="0"/>
    </xf>
    <xf numFmtId="0" fontId="26" fillId="2" borderId="8" xfId="0" applyFont="1" applyFill="1" applyBorder="1" applyAlignment="1" applyProtection="1">
      <alignment horizontal="left"/>
      <protection locked="0"/>
    </xf>
    <xf numFmtId="0" fontId="26" fillId="2" borderId="9" xfId="0" applyFont="1" applyFill="1" applyBorder="1" applyAlignment="1" applyProtection="1">
      <alignment horizontal="left"/>
      <protection locked="0"/>
    </xf>
    <xf numFmtId="0" fontId="26" fillId="2" borderId="10" xfId="0" applyFont="1" applyFill="1" applyBorder="1" applyAlignment="1" applyProtection="1">
      <alignment horizontal="left"/>
      <protection locked="0"/>
    </xf>
    <xf numFmtId="0" fontId="5" fillId="2" borderId="24" xfId="0" applyFont="1" applyFill="1" applyBorder="1" applyAlignment="1" applyProtection="1">
      <alignment horizontal="center"/>
      <protection locked="0"/>
    </xf>
    <xf numFmtId="0" fontId="16" fillId="2" borderId="21" xfId="0" applyFont="1" applyFill="1" applyBorder="1" applyAlignment="1" applyProtection="1">
      <alignment horizontal="center"/>
      <protection locked="0"/>
    </xf>
    <xf numFmtId="0" fontId="16" fillId="2" borderId="22" xfId="0" applyFont="1" applyFill="1" applyBorder="1" applyAlignment="1" applyProtection="1">
      <alignment horizontal="center"/>
      <protection locked="0"/>
    </xf>
    <xf numFmtId="0" fontId="16" fillId="2" borderId="23" xfId="0" applyFont="1" applyFill="1" applyBorder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/>
      <protection locked="0"/>
    </xf>
    <xf numFmtId="0" fontId="11" fillId="0" borderId="4" xfId="0" applyFont="1" applyBorder="1" applyAlignment="1" applyProtection="1">
      <alignment horizontal="center"/>
      <protection locked="0"/>
    </xf>
    <xf numFmtId="0" fontId="5" fillId="2" borderId="21" xfId="0" applyFont="1" applyFill="1" applyBorder="1" applyAlignment="1" applyProtection="1">
      <alignment horizontal="center"/>
      <protection locked="0"/>
    </xf>
    <xf numFmtId="0" fontId="5" fillId="2" borderId="8" xfId="0" applyFont="1" applyFill="1" applyBorder="1" applyAlignment="1" applyProtection="1">
      <alignment horizontal="center"/>
      <protection locked="0"/>
    </xf>
    <xf numFmtId="0" fontId="5" fillId="2" borderId="9" xfId="0" applyFont="1" applyFill="1" applyBorder="1" applyAlignment="1" applyProtection="1">
      <alignment horizontal="center"/>
      <protection locked="0"/>
    </xf>
    <xf numFmtId="0" fontId="5" fillId="2" borderId="10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0</xdr:col>
      <xdr:colOff>878842</xdr:colOff>
      <xdr:row>1</xdr:row>
      <xdr:rowOff>114300</xdr:rowOff>
    </xdr:to>
    <xdr:pic>
      <xdr:nvPicPr>
        <xdr:cNvPr id="1392" name="Picture 4" descr="AAM Red box.jpg">
          <a:extLst>
            <a:ext uri="{FF2B5EF4-FFF2-40B4-BE49-F238E27FC236}">
              <a16:creationId xmlns:a16="http://schemas.microsoft.com/office/drawing/2014/main" id="{CAE9FE5B-28CB-4669-9D16-7385D990D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866775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16</xdr:col>
      <xdr:colOff>17690</xdr:colOff>
      <xdr:row>0</xdr:row>
      <xdr:rowOff>0</xdr:rowOff>
    </xdr:from>
    <xdr:ext cx="755196" cy="703147"/>
    <xdr:pic>
      <xdr:nvPicPr>
        <xdr:cNvPr id="4" name="Picture 4" descr="AAM Red box.jpg">
          <a:extLst>
            <a:ext uri="{FF2B5EF4-FFF2-40B4-BE49-F238E27FC236}">
              <a16:creationId xmlns:a16="http://schemas.microsoft.com/office/drawing/2014/main" id="{3D2072AE-619D-4C48-AC80-03ADD9914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9404" y="0"/>
          <a:ext cx="755196" cy="7031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18</xdr:col>
      <xdr:colOff>533968</xdr:colOff>
      <xdr:row>13</xdr:row>
      <xdr:rowOff>198923</xdr:rowOff>
    </xdr:from>
    <xdr:to>
      <xdr:col>23</xdr:col>
      <xdr:colOff>119375</xdr:colOff>
      <xdr:row>26</xdr:row>
      <xdr:rowOff>571719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9850D4-9ABA-4024-D29A-567831593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542688" y="3358435"/>
          <a:ext cx="3186321" cy="455450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27</xdr:col>
      <xdr:colOff>520898</xdr:colOff>
      <xdr:row>8</xdr:row>
      <xdr:rowOff>148828</xdr:rowOff>
    </xdr:from>
    <xdr:to>
      <xdr:col>31</xdr:col>
      <xdr:colOff>193476</xdr:colOff>
      <xdr:row>20</xdr:row>
      <xdr:rowOff>74414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A9BB08D-3AE4-0D3A-E258-04B95D38E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029414" y="2172891"/>
          <a:ext cx="2768203" cy="328910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27</xdr:col>
      <xdr:colOff>520897</xdr:colOff>
      <xdr:row>20</xdr:row>
      <xdr:rowOff>211557</xdr:rowOff>
    </xdr:from>
    <xdr:to>
      <xdr:col>31</xdr:col>
      <xdr:colOff>201762</xdr:colOff>
      <xdr:row>26</xdr:row>
      <xdr:rowOff>254824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993252E-C847-950B-4E1A-2B835BAC9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80958" y="5694240"/>
          <a:ext cx="2840377" cy="1901804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535779</xdr:colOff>
      <xdr:row>26</xdr:row>
      <xdr:rowOff>382988</xdr:rowOff>
    </xdr:from>
    <xdr:to>
      <xdr:col>31</xdr:col>
      <xdr:colOff>235280</xdr:colOff>
      <xdr:row>30</xdr:row>
      <xdr:rowOff>267891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8084137-4934-9730-7875-7B3F54C2C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44295" y="7556504"/>
          <a:ext cx="2795126" cy="177502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0</xdr:col>
      <xdr:colOff>895350</xdr:colOff>
      <xdr:row>1</xdr:row>
      <xdr:rowOff>114300</xdr:rowOff>
    </xdr:to>
    <xdr:pic>
      <xdr:nvPicPr>
        <xdr:cNvPr id="2" name="Picture 4" descr="AAM Red box.jpg">
          <a:extLst>
            <a:ext uri="{FF2B5EF4-FFF2-40B4-BE49-F238E27FC236}">
              <a16:creationId xmlns:a16="http://schemas.microsoft.com/office/drawing/2014/main" id="{395C15DF-AB84-4AA1-BB47-FEBF50425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" y="25400"/>
          <a:ext cx="869950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462642</xdr:colOff>
      <xdr:row>13</xdr:row>
      <xdr:rowOff>326572</xdr:rowOff>
    </xdr:from>
    <xdr:to>
      <xdr:col>0</xdr:col>
      <xdr:colOff>471182</xdr:colOff>
      <xdr:row>15</xdr:row>
      <xdr:rowOff>310369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F478F7D0-11A8-4E31-97F6-972FA07B8141}"/>
            </a:ext>
          </a:extLst>
        </xdr:cNvPr>
        <xdr:cNvCxnSpPr/>
      </xdr:nvCxnSpPr>
      <xdr:spPr>
        <a:xfrm flipV="1">
          <a:off x="465817" y="3422197"/>
          <a:ext cx="2190" cy="672772"/>
        </a:xfrm>
        <a:prstGeom prst="straightConnector1">
          <a:avLst/>
        </a:prstGeom>
        <a:ln w="12700">
          <a:solidFill>
            <a:schemeClr val="tx2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57603</xdr:colOff>
      <xdr:row>16</xdr:row>
      <xdr:rowOff>27215</xdr:rowOff>
    </xdr:from>
    <xdr:to>
      <xdr:col>0</xdr:col>
      <xdr:colOff>960797</xdr:colOff>
      <xdr:row>19</xdr:row>
      <xdr:rowOff>120015</xdr:rowOff>
    </xdr:to>
    <xdr:sp macro="" textlink="">
      <xdr:nvSpPr>
        <xdr:cNvPr id="4" name="TextBox 14">
          <a:extLst>
            <a:ext uri="{FF2B5EF4-FFF2-40B4-BE49-F238E27FC236}">
              <a16:creationId xmlns:a16="http://schemas.microsoft.com/office/drawing/2014/main" id="{5EFB2CA2-36E6-43E1-B1D2-D8E2E247CE83}"/>
            </a:ext>
          </a:extLst>
        </xdr:cNvPr>
        <xdr:cNvSpPr txBox="1"/>
      </xdr:nvSpPr>
      <xdr:spPr>
        <a:xfrm>
          <a:off x="57603" y="4126140"/>
          <a:ext cx="906369" cy="1035775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2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MX" sz="1200">
              <a:solidFill>
                <a:schemeClr val="tx2"/>
              </a:solidFill>
            </a:rPr>
            <a:t>De acuerdo a la PO, NO al</a:t>
          </a:r>
          <a:r>
            <a:rPr lang="es-MX" sz="1200" baseline="0">
              <a:solidFill>
                <a:schemeClr val="tx2"/>
              </a:solidFill>
            </a:rPr>
            <a:t> # de linea en la factura</a:t>
          </a:r>
          <a:endParaRPr lang="en-US" sz="1200">
            <a:solidFill>
              <a:schemeClr val="tx2"/>
            </a:solidFill>
          </a:endParaRPr>
        </a:p>
      </xdr:txBody>
    </xdr:sp>
    <xdr:clientData/>
  </xdr:twoCellAnchor>
  <xdr:twoCellAnchor>
    <xdr:from>
      <xdr:col>4</xdr:col>
      <xdr:colOff>903343</xdr:colOff>
      <xdr:row>13</xdr:row>
      <xdr:rowOff>285750</xdr:rowOff>
    </xdr:from>
    <xdr:to>
      <xdr:col>4</xdr:col>
      <xdr:colOff>925286</xdr:colOff>
      <xdr:row>16</xdr:row>
      <xdr:rowOff>293140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CA34F00F-5618-472E-83CC-FDFCAF904BC8}"/>
            </a:ext>
          </a:extLst>
        </xdr:cNvPr>
        <xdr:cNvCxnSpPr>
          <a:stCxn id="6" idx="0"/>
        </xdr:cNvCxnSpPr>
      </xdr:nvCxnSpPr>
      <xdr:spPr>
        <a:xfrm flipV="1">
          <a:off x="3802118" y="3381375"/>
          <a:ext cx="15593" cy="1010690"/>
        </a:xfrm>
        <a:prstGeom prst="straightConnector1">
          <a:avLst/>
        </a:prstGeom>
        <a:ln w="12700">
          <a:solidFill>
            <a:schemeClr val="tx2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104884</xdr:colOff>
      <xdr:row>16</xdr:row>
      <xdr:rowOff>289965</xdr:rowOff>
    </xdr:from>
    <xdr:to>
      <xdr:col>4</xdr:col>
      <xdr:colOff>1701801</xdr:colOff>
      <xdr:row>19</xdr:row>
      <xdr:rowOff>194893</xdr:rowOff>
    </xdr:to>
    <xdr:sp macro="" textlink="">
      <xdr:nvSpPr>
        <xdr:cNvPr id="6" name="TextBox 35">
          <a:extLst>
            <a:ext uri="{FF2B5EF4-FFF2-40B4-BE49-F238E27FC236}">
              <a16:creationId xmlns:a16="http://schemas.microsoft.com/office/drawing/2014/main" id="{90DF71B5-981E-43C8-BBF3-E8FD76380DF8}"/>
            </a:ext>
          </a:extLst>
        </xdr:cNvPr>
        <xdr:cNvSpPr txBox="1"/>
      </xdr:nvSpPr>
      <xdr:spPr>
        <a:xfrm>
          <a:off x="2997309" y="4388890"/>
          <a:ext cx="1603267" cy="847903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2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MX" sz="1200">
              <a:solidFill>
                <a:schemeClr val="tx2"/>
              </a:solidFill>
            </a:rPr>
            <a:t>El total que se va a recibir, debe coincidir con la factura. (costo unitario por</a:t>
          </a:r>
          <a:r>
            <a:rPr lang="es-MX" sz="1200" baseline="0">
              <a:solidFill>
                <a:schemeClr val="tx2"/>
              </a:solidFill>
            </a:rPr>
            <a:t> cantidad)</a:t>
          </a:r>
          <a:endParaRPr lang="en-US" sz="1200">
            <a:solidFill>
              <a:schemeClr val="tx2"/>
            </a:solidFill>
          </a:endParaRPr>
        </a:p>
      </xdr:txBody>
    </xdr:sp>
    <xdr:clientData/>
  </xdr:twoCellAnchor>
  <xdr:twoCellAnchor>
    <xdr:from>
      <xdr:col>2</xdr:col>
      <xdr:colOff>190500</xdr:colOff>
      <xdr:row>13</xdr:row>
      <xdr:rowOff>326571</xdr:rowOff>
    </xdr:from>
    <xdr:to>
      <xdr:col>2</xdr:col>
      <xdr:colOff>525463</xdr:colOff>
      <xdr:row>16</xdr:row>
      <xdr:rowOff>305394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3775269C-C724-41B8-9C9B-688B38068CCE}"/>
            </a:ext>
          </a:extLst>
        </xdr:cNvPr>
        <xdr:cNvCxnSpPr>
          <a:stCxn id="8" idx="0"/>
        </xdr:cNvCxnSpPr>
      </xdr:nvCxnSpPr>
      <xdr:spPr>
        <a:xfrm flipH="1" flipV="1">
          <a:off x="1552575" y="3422196"/>
          <a:ext cx="331788" cy="978948"/>
        </a:xfrm>
        <a:prstGeom prst="straightConnector1">
          <a:avLst/>
        </a:prstGeom>
        <a:ln w="12700">
          <a:solidFill>
            <a:schemeClr val="tx2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33564</xdr:colOff>
      <xdr:row>16</xdr:row>
      <xdr:rowOff>305394</xdr:rowOff>
    </xdr:from>
    <xdr:to>
      <xdr:col>3</xdr:col>
      <xdr:colOff>802822</xdr:colOff>
      <xdr:row>20</xdr:row>
      <xdr:rowOff>88405</xdr:rowOff>
    </xdr:to>
    <xdr:sp macro="" textlink="">
      <xdr:nvSpPr>
        <xdr:cNvPr id="8" name="TextBox 38">
          <a:extLst>
            <a:ext uri="{FF2B5EF4-FFF2-40B4-BE49-F238E27FC236}">
              <a16:creationId xmlns:a16="http://schemas.microsoft.com/office/drawing/2014/main" id="{4DAFCEF7-A188-4D5C-AE3C-3A765DE5383E}"/>
            </a:ext>
          </a:extLst>
        </xdr:cNvPr>
        <xdr:cNvSpPr txBox="1"/>
      </xdr:nvSpPr>
      <xdr:spPr>
        <a:xfrm>
          <a:off x="1068614" y="4401144"/>
          <a:ext cx="1639208" cy="103713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2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MX" sz="1200">
              <a:solidFill>
                <a:schemeClr val="tx2"/>
              </a:solidFill>
            </a:rPr>
            <a:t>Cantidad entregada por el proveedor.</a:t>
          </a:r>
          <a:r>
            <a:rPr lang="es-MX" sz="1200" baseline="0">
              <a:solidFill>
                <a:schemeClr val="tx2"/>
              </a:solidFill>
            </a:rPr>
            <a:t> Para recibos en porcentaje, se debe colocar en decimal.</a:t>
          </a:r>
          <a:endParaRPr lang="en-US" sz="1200">
            <a:solidFill>
              <a:schemeClr val="tx2"/>
            </a:solidFill>
          </a:endParaRPr>
        </a:p>
      </xdr:txBody>
    </xdr:sp>
    <xdr:clientData/>
  </xdr:twoCellAnchor>
  <xdr:twoCellAnchor>
    <xdr:from>
      <xdr:col>10</xdr:col>
      <xdr:colOff>294804</xdr:colOff>
      <xdr:row>13</xdr:row>
      <xdr:rowOff>244928</xdr:rowOff>
    </xdr:from>
    <xdr:to>
      <xdr:col>10</xdr:col>
      <xdr:colOff>312964</xdr:colOff>
      <xdr:row>14</xdr:row>
      <xdr:rowOff>267564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38FADD1D-C591-4B5A-A9DE-4E7DBA9E2949}"/>
            </a:ext>
          </a:extLst>
        </xdr:cNvPr>
        <xdr:cNvCxnSpPr>
          <a:cxnSpLocks/>
        </xdr:cNvCxnSpPr>
      </xdr:nvCxnSpPr>
      <xdr:spPr>
        <a:xfrm flipV="1">
          <a:off x="8889529" y="3340553"/>
          <a:ext cx="18160" cy="394111"/>
        </a:xfrm>
        <a:prstGeom prst="straightConnector1">
          <a:avLst/>
        </a:prstGeom>
        <a:ln w="12700">
          <a:solidFill>
            <a:schemeClr val="tx2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1486460</xdr:colOff>
      <xdr:row>14</xdr:row>
      <xdr:rowOff>264387</xdr:rowOff>
    </xdr:from>
    <xdr:to>
      <xdr:col>11</xdr:col>
      <xdr:colOff>803115</xdr:colOff>
      <xdr:row>16</xdr:row>
      <xdr:rowOff>106535</xdr:rowOff>
    </xdr:to>
    <xdr:sp macro="" textlink="">
      <xdr:nvSpPr>
        <xdr:cNvPr id="10" name="TextBox 32">
          <a:extLst>
            <a:ext uri="{FF2B5EF4-FFF2-40B4-BE49-F238E27FC236}">
              <a16:creationId xmlns:a16="http://schemas.microsoft.com/office/drawing/2014/main" id="{5D2D4DF9-E147-4E3F-B387-AE39989B4E0F}"/>
            </a:ext>
          </a:extLst>
        </xdr:cNvPr>
        <xdr:cNvSpPr txBox="1"/>
      </xdr:nvSpPr>
      <xdr:spPr>
        <a:xfrm>
          <a:off x="7849160" y="3731487"/>
          <a:ext cx="1993180" cy="467623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2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MX" sz="1200">
              <a:solidFill>
                <a:schemeClr val="tx2"/>
              </a:solidFill>
            </a:rPr>
            <a:t>Descripción detallada de la linea de la PO</a:t>
          </a:r>
          <a:endParaRPr lang="en-US" sz="1200">
            <a:solidFill>
              <a:schemeClr val="tx2"/>
            </a:solidFill>
          </a:endParaRPr>
        </a:p>
      </xdr:txBody>
    </xdr:sp>
    <xdr:clientData/>
  </xdr:twoCellAnchor>
  <xdr:twoCellAnchor>
    <xdr:from>
      <xdr:col>4</xdr:col>
      <xdr:colOff>1455965</xdr:colOff>
      <xdr:row>24</xdr:row>
      <xdr:rowOff>176893</xdr:rowOff>
    </xdr:from>
    <xdr:to>
      <xdr:col>5</xdr:col>
      <xdr:colOff>162595</xdr:colOff>
      <xdr:row>24</xdr:row>
      <xdr:rowOff>262457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88FED154-D79B-4DCE-80E1-5393BBF3E9A9}"/>
            </a:ext>
          </a:extLst>
        </xdr:cNvPr>
        <xdr:cNvCxnSpPr>
          <a:stCxn id="12" idx="1"/>
        </xdr:cNvCxnSpPr>
      </xdr:nvCxnSpPr>
      <xdr:spPr>
        <a:xfrm flipH="1" flipV="1">
          <a:off x="4354740" y="6790418"/>
          <a:ext cx="481455" cy="79214"/>
        </a:xfrm>
        <a:prstGeom prst="straightConnector1">
          <a:avLst/>
        </a:prstGeom>
        <a:ln w="9525">
          <a:solidFill>
            <a:schemeClr val="tx2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159420</xdr:colOff>
      <xdr:row>24</xdr:row>
      <xdr:rowOff>31593</xdr:rowOff>
    </xdr:from>
    <xdr:to>
      <xdr:col>8</xdr:col>
      <xdr:colOff>326571</xdr:colOff>
      <xdr:row>25</xdr:row>
      <xdr:rowOff>186705</xdr:rowOff>
    </xdr:to>
    <xdr:sp macro="" textlink="">
      <xdr:nvSpPr>
        <xdr:cNvPr id="12" name="TextBox 43">
          <a:extLst>
            <a:ext uri="{FF2B5EF4-FFF2-40B4-BE49-F238E27FC236}">
              <a16:creationId xmlns:a16="http://schemas.microsoft.com/office/drawing/2014/main" id="{2562033D-453F-419B-BAA8-A9DC06F63098}"/>
            </a:ext>
          </a:extLst>
        </xdr:cNvPr>
        <xdr:cNvSpPr txBox="1"/>
      </xdr:nvSpPr>
      <xdr:spPr>
        <a:xfrm>
          <a:off x="4839370" y="6638768"/>
          <a:ext cx="1849901" cy="469437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2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MX" sz="1200">
              <a:solidFill>
                <a:schemeClr val="tx2"/>
              </a:solidFill>
            </a:rPr>
            <a:t>Debe coincidir con el monto total de la factura</a:t>
          </a:r>
          <a:endParaRPr lang="en-US" sz="1200">
            <a:solidFill>
              <a:schemeClr val="tx2"/>
            </a:solidFill>
          </a:endParaRPr>
        </a:p>
      </xdr:txBody>
    </xdr:sp>
    <xdr:clientData/>
  </xdr:twoCellAnchor>
  <xdr:twoCellAnchor>
    <xdr:from>
      <xdr:col>15</xdr:col>
      <xdr:colOff>82844</xdr:colOff>
      <xdr:row>14</xdr:row>
      <xdr:rowOff>30393</xdr:rowOff>
    </xdr:from>
    <xdr:to>
      <xdr:col>15</xdr:col>
      <xdr:colOff>485851</xdr:colOff>
      <xdr:row>15</xdr:row>
      <xdr:rowOff>125833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36D80F7A-916F-4CAD-BC87-B904226AB09C}"/>
            </a:ext>
          </a:extLst>
        </xdr:cNvPr>
        <xdr:cNvCxnSpPr>
          <a:stCxn id="14" idx="0"/>
        </xdr:cNvCxnSpPr>
      </xdr:nvCxnSpPr>
      <xdr:spPr>
        <a:xfrm flipV="1">
          <a:off x="12344694" y="3494318"/>
          <a:ext cx="396657" cy="409765"/>
        </a:xfrm>
        <a:prstGeom prst="straightConnector1">
          <a:avLst/>
        </a:prstGeom>
        <a:ln w="12700">
          <a:solidFill>
            <a:schemeClr val="tx2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421822</xdr:colOff>
      <xdr:row>15</xdr:row>
      <xdr:rowOff>122658</xdr:rowOff>
    </xdr:from>
    <xdr:to>
      <xdr:col>15</xdr:col>
      <xdr:colOff>1134969</xdr:colOff>
      <xdr:row>18</xdr:row>
      <xdr:rowOff>215458</xdr:rowOff>
    </xdr:to>
    <xdr:sp macro="" textlink="">
      <xdr:nvSpPr>
        <xdr:cNvPr id="14" name="TextBox 29">
          <a:extLst>
            <a:ext uri="{FF2B5EF4-FFF2-40B4-BE49-F238E27FC236}">
              <a16:creationId xmlns:a16="http://schemas.microsoft.com/office/drawing/2014/main" id="{779511AF-3BC4-44F0-B81D-865E0F577D38}"/>
            </a:ext>
          </a:extLst>
        </xdr:cNvPr>
        <xdr:cNvSpPr txBox="1"/>
      </xdr:nvSpPr>
      <xdr:spPr>
        <a:xfrm>
          <a:off x="11299372" y="3907258"/>
          <a:ext cx="2091097" cy="1035775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2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MX" sz="1200">
              <a:solidFill>
                <a:schemeClr val="tx2"/>
              </a:solidFill>
            </a:rPr>
            <a:t>YES: Si  con este recibo se cierra la linea de la PO</a:t>
          </a:r>
        </a:p>
        <a:p>
          <a:r>
            <a:rPr lang="es-MX" sz="1200">
              <a:solidFill>
                <a:schemeClr val="tx2"/>
              </a:solidFill>
            </a:rPr>
            <a:t>NO: Si aun quedará un remanente por recibir de la linea de la PO</a:t>
          </a:r>
          <a:endParaRPr lang="en-US" sz="1200">
            <a:solidFill>
              <a:schemeClr val="tx2"/>
            </a:solidFill>
          </a:endParaRPr>
        </a:p>
      </xdr:txBody>
    </xdr:sp>
    <xdr:clientData/>
  </xdr:twoCellAnchor>
  <xdr:twoCellAnchor>
    <xdr:from>
      <xdr:col>14</xdr:col>
      <xdr:colOff>9536</xdr:colOff>
      <xdr:row>10</xdr:row>
      <xdr:rowOff>144421</xdr:rowOff>
    </xdr:from>
    <xdr:to>
      <xdr:col>16</xdr:col>
      <xdr:colOff>231322</xdr:colOff>
      <xdr:row>10</xdr:row>
      <xdr:rowOff>170369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41F4417E-A3EF-4F41-9F5B-5A75ADACA5D8}"/>
            </a:ext>
          </a:extLst>
        </xdr:cNvPr>
        <xdr:cNvCxnSpPr>
          <a:stCxn id="16" idx="1"/>
        </xdr:cNvCxnSpPr>
      </xdr:nvCxnSpPr>
      <xdr:spPr>
        <a:xfrm flipH="1" flipV="1">
          <a:off x="11626861" y="2560596"/>
          <a:ext cx="2034711" cy="29123"/>
        </a:xfrm>
        <a:prstGeom prst="straightConnector1">
          <a:avLst/>
        </a:prstGeom>
        <a:ln w="12700">
          <a:solidFill>
            <a:schemeClr val="tx2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231322</xdr:colOff>
      <xdr:row>8</xdr:row>
      <xdr:rowOff>197493</xdr:rowOff>
    </xdr:from>
    <xdr:to>
      <xdr:col>19</xdr:col>
      <xdr:colOff>54429</xdr:colOff>
      <xdr:row>12</xdr:row>
      <xdr:rowOff>47993</xdr:rowOff>
    </xdr:to>
    <xdr:sp macro="" textlink="">
      <xdr:nvSpPr>
        <xdr:cNvPr id="16" name="TextBox 29">
          <a:extLst>
            <a:ext uri="{FF2B5EF4-FFF2-40B4-BE49-F238E27FC236}">
              <a16:creationId xmlns:a16="http://schemas.microsoft.com/office/drawing/2014/main" id="{DDB6CCCB-79A4-4710-92A3-8BA791314D1D}"/>
            </a:ext>
          </a:extLst>
        </xdr:cNvPr>
        <xdr:cNvSpPr txBox="1"/>
      </xdr:nvSpPr>
      <xdr:spPr>
        <a:xfrm>
          <a:off x="13661572" y="2172343"/>
          <a:ext cx="1737632" cy="83475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2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MX" sz="1200">
              <a:solidFill>
                <a:schemeClr val="tx2"/>
              </a:solidFill>
            </a:rPr>
            <a:t>Elegir alguno del listado que se relacione con el servicio/producto que se va a recibir</a:t>
          </a:r>
          <a:endParaRPr lang="en-US" sz="1200">
            <a:solidFill>
              <a:schemeClr val="tx2"/>
            </a:solidFill>
          </a:endParaRPr>
        </a:p>
      </xdr:txBody>
    </xdr:sp>
    <xdr:clientData/>
  </xdr:twoCellAnchor>
  <xdr:twoCellAnchor>
    <xdr:from>
      <xdr:col>3</xdr:col>
      <xdr:colOff>598714</xdr:colOff>
      <xdr:row>13</xdr:row>
      <xdr:rowOff>312964</xdr:rowOff>
    </xdr:from>
    <xdr:to>
      <xdr:col>3</xdr:col>
      <xdr:colOff>613909</xdr:colOff>
      <xdr:row>14</xdr:row>
      <xdr:rowOff>183836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4598CFEF-CBD3-412F-BE5A-86A474711E74}"/>
            </a:ext>
          </a:extLst>
        </xdr:cNvPr>
        <xdr:cNvCxnSpPr>
          <a:stCxn id="18" idx="0"/>
        </xdr:cNvCxnSpPr>
      </xdr:nvCxnSpPr>
      <xdr:spPr>
        <a:xfrm flipH="1" flipV="1">
          <a:off x="2506889" y="3411764"/>
          <a:ext cx="15195" cy="235997"/>
        </a:xfrm>
        <a:prstGeom prst="straightConnector1">
          <a:avLst/>
        </a:prstGeom>
        <a:ln w="12700">
          <a:solidFill>
            <a:schemeClr val="tx2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54428</xdr:colOff>
      <xdr:row>14</xdr:row>
      <xdr:rowOff>187011</xdr:rowOff>
    </xdr:from>
    <xdr:to>
      <xdr:col>4</xdr:col>
      <xdr:colOff>183243</xdr:colOff>
      <xdr:row>16</xdr:row>
      <xdr:rowOff>220206</xdr:rowOff>
    </xdr:to>
    <xdr:sp macro="" textlink="">
      <xdr:nvSpPr>
        <xdr:cNvPr id="18" name="TextBox 38">
          <a:extLst>
            <a:ext uri="{FF2B5EF4-FFF2-40B4-BE49-F238E27FC236}">
              <a16:creationId xmlns:a16="http://schemas.microsoft.com/office/drawing/2014/main" id="{8752FA5C-112C-4A7C-A296-564502A05603}"/>
            </a:ext>
          </a:extLst>
        </xdr:cNvPr>
        <xdr:cNvSpPr txBox="1"/>
      </xdr:nvSpPr>
      <xdr:spPr>
        <a:xfrm>
          <a:off x="1959428" y="3650936"/>
          <a:ext cx="1116240" cy="661845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2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MX" sz="1200">
              <a:solidFill>
                <a:schemeClr val="tx2"/>
              </a:solidFill>
            </a:rPr>
            <a:t>Debe coincidir la PO y la factura</a:t>
          </a:r>
          <a:endParaRPr lang="en-US" sz="1200">
            <a:solidFill>
              <a:schemeClr val="tx2"/>
            </a:solidFill>
          </a:endParaRPr>
        </a:p>
      </xdr:txBody>
    </xdr:sp>
    <xdr:clientData/>
  </xdr:twoCellAnchor>
  <xdr:twoCellAnchor>
    <xdr:from>
      <xdr:col>5</xdr:col>
      <xdr:colOff>476250</xdr:colOff>
      <xdr:row>13</xdr:row>
      <xdr:rowOff>326571</xdr:rowOff>
    </xdr:from>
    <xdr:to>
      <xdr:col>5</xdr:col>
      <xdr:colOff>483507</xdr:colOff>
      <xdr:row>14</xdr:row>
      <xdr:rowOff>279087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F734EACC-EF6A-4F87-A560-D98E4716DB86}"/>
            </a:ext>
          </a:extLst>
        </xdr:cNvPr>
        <xdr:cNvCxnSpPr/>
      </xdr:nvCxnSpPr>
      <xdr:spPr>
        <a:xfrm flipH="1" flipV="1">
          <a:off x="5153025" y="3422196"/>
          <a:ext cx="10432" cy="320816"/>
        </a:xfrm>
        <a:prstGeom prst="straightConnector1">
          <a:avLst/>
        </a:prstGeom>
        <a:ln w="12700">
          <a:solidFill>
            <a:schemeClr val="tx2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40821</xdr:colOff>
      <xdr:row>14</xdr:row>
      <xdr:rowOff>221482</xdr:rowOff>
    </xdr:from>
    <xdr:to>
      <xdr:col>5</xdr:col>
      <xdr:colOff>908503</xdr:colOff>
      <xdr:row>17</xdr:row>
      <xdr:rowOff>126410</xdr:rowOff>
    </xdr:to>
    <xdr:sp macro="" textlink="">
      <xdr:nvSpPr>
        <xdr:cNvPr id="20" name="TextBox 38">
          <a:extLst>
            <a:ext uri="{FF2B5EF4-FFF2-40B4-BE49-F238E27FC236}">
              <a16:creationId xmlns:a16="http://schemas.microsoft.com/office/drawing/2014/main" id="{4E57D5E9-22B4-4CAD-9F7E-26D95883FBB0}"/>
            </a:ext>
          </a:extLst>
        </xdr:cNvPr>
        <xdr:cNvSpPr txBox="1"/>
      </xdr:nvSpPr>
      <xdr:spPr>
        <a:xfrm>
          <a:off x="4717596" y="3685407"/>
          <a:ext cx="864507" cy="847903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2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MX" sz="1200">
              <a:solidFill>
                <a:schemeClr val="tx2"/>
              </a:solidFill>
            </a:rPr>
            <a:t>Debe coincidir la PO y la factura</a:t>
          </a:r>
          <a:endParaRPr lang="en-US" sz="1200">
            <a:solidFill>
              <a:schemeClr val="tx2"/>
            </a:solidFill>
          </a:endParaRPr>
        </a:p>
      </xdr:txBody>
    </xdr:sp>
    <xdr:clientData/>
  </xdr:twoCellAnchor>
  <xdr:twoCellAnchor>
    <xdr:from>
      <xdr:col>0</xdr:col>
      <xdr:colOff>0</xdr:colOff>
      <xdr:row>26</xdr:row>
      <xdr:rowOff>530679</xdr:rowOff>
    </xdr:from>
    <xdr:to>
      <xdr:col>3</xdr:col>
      <xdr:colOff>197757</xdr:colOff>
      <xdr:row>29</xdr:row>
      <xdr:rowOff>98604</xdr:rowOff>
    </xdr:to>
    <xdr:sp macro="" textlink="">
      <xdr:nvSpPr>
        <xdr:cNvPr id="21" name="TextBox 43">
          <a:extLst>
            <a:ext uri="{FF2B5EF4-FFF2-40B4-BE49-F238E27FC236}">
              <a16:creationId xmlns:a16="http://schemas.microsoft.com/office/drawing/2014/main" id="{7D422537-DCAF-45FC-A57D-1579C9F01B17}"/>
            </a:ext>
          </a:extLst>
        </xdr:cNvPr>
        <xdr:cNvSpPr txBox="1"/>
      </xdr:nvSpPr>
      <xdr:spPr>
        <a:xfrm>
          <a:off x="0" y="7683954"/>
          <a:ext cx="2105932" cy="856975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2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MX" sz="1200">
              <a:solidFill>
                <a:schemeClr val="tx2"/>
              </a:solidFill>
            </a:rPr>
            <a:t>Solicitante y aprobador deben ser diferentes. Aprobador debe tener nivel Gerencial o mayor</a:t>
          </a:r>
          <a:endParaRPr lang="en-US" sz="1200">
            <a:solidFill>
              <a:schemeClr val="tx2"/>
            </a:solidFill>
          </a:endParaRPr>
        </a:p>
      </xdr:txBody>
    </xdr:sp>
    <xdr:clientData/>
  </xdr:twoCellAnchor>
  <xdr:twoCellAnchor>
    <xdr:from>
      <xdr:col>1</xdr:col>
      <xdr:colOff>18823</xdr:colOff>
      <xdr:row>29</xdr:row>
      <xdr:rowOff>101779</xdr:rowOff>
    </xdr:from>
    <xdr:to>
      <xdr:col>2</xdr:col>
      <xdr:colOff>462643</xdr:colOff>
      <xdr:row>29</xdr:row>
      <xdr:rowOff>299358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367BDAAA-420D-42F1-90FE-81230ABCFA8B}"/>
            </a:ext>
          </a:extLst>
        </xdr:cNvPr>
        <xdr:cNvCxnSpPr>
          <a:stCxn id="21" idx="2"/>
        </xdr:cNvCxnSpPr>
      </xdr:nvCxnSpPr>
      <xdr:spPr>
        <a:xfrm>
          <a:off x="1057048" y="8544104"/>
          <a:ext cx="770845" cy="191229"/>
        </a:xfrm>
        <a:prstGeom prst="straightConnector1">
          <a:avLst/>
        </a:prstGeom>
        <a:ln w="9525">
          <a:solidFill>
            <a:schemeClr val="tx2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18823</xdr:colOff>
      <xdr:row>26</xdr:row>
      <xdr:rowOff>258536</xdr:rowOff>
    </xdr:from>
    <xdr:to>
      <xdr:col>3</xdr:col>
      <xdr:colOff>81643</xdr:colOff>
      <xdr:row>26</xdr:row>
      <xdr:rowOff>530679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5D6A0F08-98CF-4B79-B165-C43B6868D1D4}"/>
            </a:ext>
          </a:extLst>
        </xdr:cNvPr>
        <xdr:cNvCxnSpPr>
          <a:stCxn id="21" idx="0"/>
        </xdr:cNvCxnSpPr>
      </xdr:nvCxnSpPr>
      <xdr:spPr>
        <a:xfrm flipV="1">
          <a:off x="1057048" y="7408636"/>
          <a:ext cx="932770" cy="275318"/>
        </a:xfrm>
        <a:prstGeom prst="straightConnector1">
          <a:avLst/>
        </a:prstGeom>
        <a:ln w="9525">
          <a:solidFill>
            <a:schemeClr val="tx2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1095829</xdr:colOff>
      <xdr:row>30</xdr:row>
      <xdr:rowOff>278493</xdr:rowOff>
    </xdr:from>
    <xdr:to>
      <xdr:col>15</xdr:col>
      <xdr:colOff>714829</xdr:colOff>
      <xdr:row>33</xdr:row>
      <xdr:rowOff>64132</xdr:rowOff>
    </xdr:to>
    <xdr:sp macro="" textlink="">
      <xdr:nvSpPr>
        <xdr:cNvPr id="24" name="TextBox 43">
          <a:extLst>
            <a:ext uri="{FF2B5EF4-FFF2-40B4-BE49-F238E27FC236}">
              <a16:creationId xmlns:a16="http://schemas.microsoft.com/office/drawing/2014/main" id="{EEBF8AFA-5E18-465C-AC15-C113F52A3F57}"/>
            </a:ext>
          </a:extLst>
        </xdr:cNvPr>
        <xdr:cNvSpPr txBox="1"/>
      </xdr:nvSpPr>
      <xdr:spPr>
        <a:xfrm>
          <a:off x="7450365" y="9286422"/>
          <a:ext cx="5524500" cy="84699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2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MX" sz="1200">
              <a:solidFill>
                <a:schemeClr val="tx2"/>
              </a:solidFill>
            </a:rPr>
            <a:t>Puede ser la</a:t>
          </a:r>
          <a:r>
            <a:rPr lang="es-MX" sz="1200" baseline="0">
              <a:solidFill>
                <a:schemeClr val="tx2"/>
              </a:solidFill>
            </a:rPr>
            <a:t> misma persona que el Aprobador. Es mandatorio para RPS mayores a 10,000 USD, dependiendo el tipo de servicio es el aprobador. En la pestaña "Service" viene el detalle. </a:t>
          </a:r>
        </a:p>
        <a:p>
          <a:r>
            <a:rPr lang="es-MX" sz="1200" baseline="0">
              <a:solidFill>
                <a:schemeClr val="tx2"/>
              </a:solidFill>
            </a:rPr>
            <a:t>Para FORJA los RPS mayores a 10,000USD serán firmados por el Gerente de Planta</a:t>
          </a:r>
          <a:endParaRPr lang="en-US" sz="1200">
            <a:solidFill>
              <a:schemeClr val="tx2"/>
            </a:solidFill>
          </a:endParaRPr>
        </a:p>
      </xdr:txBody>
    </xdr:sp>
    <xdr:clientData/>
  </xdr:twoCellAnchor>
  <xdr:twoCellAnchor>
    <xdr:from>
      <xdr:col>12</xdr:col>
      <xdr:colOff>190500</xdr:colOff>
      <xdr:row>29</xdr:row>
      <xdr:rowOff>258536</xdr:rowOff>
    </xdr:from>
    <xdr:to>
      <xdr:col>12</xdr:col>
      <xdr:colOff>317047</xdr:colOff>
      <xdr:row>30</xdr:row>
      <xdr:rowOff>275318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FAFA4CBD-8228-4516-B84D-3C45E8874B91}"/>
            </a:ext>
          </a:extLst>
        </xdr:cNvPr>
        <xdr:cNvCxnSpPr>
          <a:stCxn id="24" idx="0"/>
        </xdr:cNvCxnSpPr>
      </xdr:nvCxnSpPr>
      <xdr:spPr>
        <a:xfrm flipH="1" flipV="1">
          <a:off x="10082893" y="8681357"/>
          <a:ext cx="126547" cy="601890"/>
        </a:xfrm>
        <a:prstGeom prst="straightConnector1">
          <a:avLst/>
        </a:prstGeom>
        <a:ln w="9525">
          <a:solidFill>
            <a:schemeClr val="tx2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64"/>
  <sheetViews>
    <sheetView showGridLines="0" tabSelected="1" topLeftCell="A6" zoomScale="74" zoomScaleNormal="74" zoomScaleSheetLayoutView="70" zoomScalePageLayoutView="60" workbookViewId="0">
      <selection activeCell="E7" sqref="E7:F7"/>
    </sheetView>
  </sheetViews>
  <sheetFormatPr baseColWidth="10" defaultColWidth="9.15234375" defaultRowHeight="12.45" x14ac:dyDescent="0.3"/>
  <cols>
    <col min="1" max="1" width="14.69140625" style="5" customWidth="1"/>
    <col min="2" max="2" width="4.69140625" style="5" customWidth="1"/>
    <col min="3" max="3" width="7.69140625" style="5" customWidth="1"/>
    <col min="4" max="4" width="14.3046875" style="5" customWidth="1"/>
    <col min="5" max="5" width="25.3828125" style="5" customWidth="1"/>
    <col min="6" max="6" width="13.3828125" style="5" bestFit="1" customWidth="1"/>
    <col min="7" max="8" width="5.3046875" style="5" customWidth="1"/>
    <col min="9" max="9" width="22.3046875" style="5" customWidth="1"/>
    <col min="10" max="10" width="9.69140625" style="5" customWidth="1"/>
    <col min="11" max="11" width="6.3828125" style="5" customWidth="1"/>
    <col min="12" max="12" width="12.3046875" style="5" customWidth="1"/>
    <col min="13" max="13" width="14.15234375" style="5" customWidth="1"/>
    <col min="14" max="14" width="10.69140625" style="5" customWidth="1"/>
    <col min="15" max="15" width="9.15234375" style="5"/>
    <col min="16" max="16" width="16.69140625" style="5" customWidth="1"/>
    <col min="17" max="17" width="7" style="5" customWidth="1"/>
    <col min="18" max="26" width="10.69140625" style="5" customWidth="1"/>
    <col min="27" max="33" width="11.69140625" style="5" customWidth="1"/>
    <col min="34" max="34" width="7" style="5" customWidth="1"/>
    <col min="35" max="16384" width="9.15234375" style="5"/>
  </cols>
  <sheetData>
    <row r="1" spans="1:35" ht="57" customHeight="1" thickBot="1" x14ac:dyDescent="0.35">
      <c r="A1" s="1"/>
      <c r="B1" s="2"/>
      <c r="C1" s="2"/>
      <c r="D1" s="124" t="s">
        <v>0</v>
      </c>
      <c r="E1" s="124"/>
      <c r="F1" s="124"/>
      <c r="G1" s="124"/>
      <c r="H1" s="124"/>
      <c r="I1" s="124"/>
      <c r="J1" s="124"/>
      <c r="K1" s="124"/>
      <c r="L1" s="124"/>
      <c r="M1" s="124"/>
      <c r="N1" s="3"/>
      <c r="O1" s="2"/>
      <c r="P1" s="4"/>
      <c r="Q1" s="95"/>
      <c r="R1" s="96"/>
      <c r="S1" s="96"/>
      <c r="T1" s="96"/>
      <c r="U1" s="121" t="s">
        <v>74</v>
      </c>
      <c r="V1" s="121"/>
      <c r="W1" s="121"/>
      <c r="X1" s="121"/>
      <c r="Y1" s="121"/>
      <c r="Z1" s="121"/>
      <c r="AA1" s="121"/>
      <c r="AB1" s="121"/>
      <c r="AC1" s="121"/>
      <c r="AD1" s="121"/>
      <c r="AE1" s="97"/>
      <c r="AF1" s="96"/>
      <c r="AG1" s="96"/>
      <c r="AH1" s="98"/>
    </row>
    <row r="2" spans="1:35" ht="9.75" customHeight="1" thickTop="1" thickBot="1" x14ac:dyDescent="0.35">
      <c r="A2" s="6"/>
      <c r="B2" s="7"/>
      <c r="C2" s="7"/>
      <c r="D2" s="8"/>
      <c r="E2" s="8"/>
      <c r="F2" s="8"/>
      <c r="G2" s="8"/>
      <c r="H2" s="8"/>
      <c r="I2" s="9"/>
      <c r="J2" s="9"/>
      <c r="K2" s="9"/>
      <c r="L2" s="9"/>
      <c r="M2" s="9"/>
      <c r="N2" s="9"/>
      <c r="O2" s="9"/>
      <c r="P2" s="10"/>
      <c r="Q2" s="58"/>
      <c r="U2" s="14"/>
      <c r="V2" s="14"/>
      <c r="W2" s="14"/>
      <c r="X2" s="14"/>
      <c r="Y2" s="14"/>
      <c r="Z2" s="15"/>
      <c r="AA2" s="15"/>
      <c r="AB2" s="15"/>
      <c r="AC2" s="15"/>
      <c r="AD2" s="15"/>
      <c r="AE2" s="15"/>
      <c r="AF2" s="15"/>
      <c r="AG2" s="15"/>
      <c r="AH2" s="17"/>
    </row>
    <row r="3" spans="1:35" s="11" customFormat="1" ht="16.3" thickTop="1" thickBot="1" x14ac:dyDescent="0.45">
      <c r="A3" s="143" t="s">
        <v>40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5"/>
      <c r="Q3" s="99"/>
      <c r="R3" s="122" t="s">
        <v>77</v>
      </c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00"/>
    </row>
    <row r="4" spans="1:35" s="11" customFormat="1" ht="15.9" thickTop="1" thickBot="1" x14ac:dyDescent="0.4">
      <c r="A4" s="146" t="s">
        <v>41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8"/>
      <c r="Q4" s="101"/>
      <c r="R4" s="102"/>
      <c r="S4" s="103"/>
      <c r="T4" s="111" t="s">
        <v>78</v>
      </c>
      <c r="U4" s="111"/>
      <c r="V4" s="111"/>
      <c r="W4" s="111"/>
      <c r="X4" s="111"/>
      <c r="Y4" s="102"/>
      <c r="Z4" s="102"/>
      <c r="AA4" s="102"/>
      <c r="AB4" s="102"/>
      <c r="AC4" s="102"/>
      <c r="AD4" s="102"/>
      <c r="AE4" s="102"/>
      <c r="AF4" s="102"/>
      <c r="AG4" s="102"/>
      <c r="AH4" s="104"/>
    </row>
    <row r="5" spans="1:35" ht="9" customHeight="1" thickTop="1" thickBot="1" x14ac:dyDescent="0.45">
      <c r="A5" s="12"/>
      <c r="B5" s="13"/>
      <c r="D5" s="14"/>
      <c r="E5" s="14"/>
      <c r="F5" s="14"/>
      <c r="G5" s="14"/>
      <c r="H5" s="14"/>
      <c r="I5" s="15"/>
      <c r="J5" s="15"/>
      <c r="K5" s="15"/>
      <c r="L5" s="15"/>
      <c r="M5" s="15"/>
      <c r="N5" s="16"/>
      <c r="P5" s="17"/>
      <c r="Q5" s="58"/>
      <c r="R5" s="123" t="s">
        <v>75</v>
      </c>
      <c r="S5" s="123"/>
      <c r="T5" s="123"/>
      <c r="U5" s="123"/>
      <c r="V5" s="123"/>
      <c r="W5" s="123"/>
      <c r="X5" s="123"/>
      <c r="Y5" s="123"/>
      <c r="AA5" s="123" t="s">
        <v>76</v>
      </c>
      <c r="AB5" s="123"/>
      <c r="AC5" s="123"/>
      <c r="AD5" s="123"/>
      <c r="AE5" s="123"/>
      <c r="AF5" s="123"/>
      <c r="AG5" s="123"/>
      <c r="AH5" s="17"/>
    </row>
    <row r="6" spans="1:35" ht="7.5" customHeight="1" thickBot="1" x14ac:dyDescent="0.45">
      <c r="A6" s="1"/>
      <c r="B6" s="18"/>
      <c r="C6" s="18"/>
      <c r="D6" s="2"/>
      <c r="E6" s="19"/>
      <c r="F6" s="19"/>
      <c r="G6" s="19"/>
      <c r="H6" s="19"/>
      <c r="I6" s="19"/>
      <c r="J6" s="20"/>
      <c r="K6" s="20"/>
      <c r="L6" s="20"/>
      <c r="M6" s="20"/>
      <c r="N6" s="20"/>
      <c r="O6" s="20"/>
      <c r="P6" s="4"/>
      <c r="Q6" s="58"/>
      <c r="R6" s="123"/>
      <c r="S6" s="123"/>
      <c r="T6" s="123"/>
      <c r="U6" s="123"/>
      <c r="V6" s="123"/>
      <c r="W6" s="123"/>
      <c r="X6" s="123"/>
      <c r="Y6" s="123"/>
      <c r="AA6" s="123"/>
      <c r="AB6" s="123"/>
      <c r="AC6" s="123"/>
      <c r="AD6" s="123"/>
      <c r="AE6" s="123"/>
      <c r="AF6" s="123"/>
      <c r="AG6" s="123"/>
      <c r="AH6" s="17"/>
    </row>
    <row r="7" spans="1:35" s="24" customFormat="1" ht="32.25" customHeight="1" thickBot="1" x14ac:dyDescent="0.7">
      <c r="A7" s="21"/>
      <c r="B7" s="139" t="s">
        <v>42</v>
      </c>
      <c r="C7" s="139"/>
      <c r="D7" s="140"/>
      <c r="E7" s="141">
        <v>786794</v>
      </c>
      <c r="F7" s="142"/>
      <c r="G7" s="22"/>
      <c r="H7" s="22"/>
      <c r="I7" s="23"/>
      <c r="J7" s="23"/>
      <c r="K7" s="23"/>
      <c r="L7" s="23"/>
      <c r="M7" s="23"/>
      <c r="N7" s="23"/>
      <c r="P7" s="25"/>
      <c r="Q7" s="84"/>
      <c r="R7" s="123"/>
      <c r="S7" s="123"/>
      <c r="T7" s="123"/>
      <c r="U7" s="123"/>
      <c r="V7" s="123"/>
      <c r="W7" s="123"/>
      <c r="X7" s="123"/>
      <c r="Y7" s="123"/>
      <c r="Z7" s="5"/>
      <c r="AA7" s="123"/>
      <c r="AB7" s="123"/>
      <c r="AC7" s="123"/>
      <c r="AD7" s="123"/>
      <c r="AE7" s="123"/>
      <c r="AF7" s="123"/>
      <c r="AG7" s="123"/>
      <c r="AH7" s="85"/>
    </row>
    <row r="8" spans="1:35" s="33" customFormat="1" ht="8.25" customHeight="1" thickBot="1" x14ac:dyDescent="0.35">
      <c r="A8" s="26"/>
      <c r="B8" s="27"/>
      <c r="C8" s="27"/>
      <c r="D8" s="27"/>
      <c r="E8" s="27"/>
      <c r="F8" s="27"/>
      <c r="G8" s="28"/>
      <c r="H8" s="28"/>
      <c r="I8" s="29"/>
      <c r="J8" s="30"/>
      <c r="K8" s="30"/>
      <c r="L8" s="30"/>
      <c r="M8" s="30"/>
      <c r="N8" s="30"/>
      <c r="O8" s="30"/>
      <c r="P8" s="31"/>
      <c r="Q8" s="86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87"/>
    </row>
    <row r="9" spans="1:35" s="33" customFormat="1" ht="27.65" customHeight="1" thickBot="1" x14ac:dyDescent="0.55000000000000004">
      <c r="A9" s="159" t="s">
        <v>43</v>
      </c>
      <c r="B9" s="160"/>
      <c r="C9" s="160"/>
      <c r="D9" s="161"/>
      <c r="E9" s="125" t="s">
        <v>80</v>
      </c>
      <c r="F9" s="126"/>
      <c r="G9" s="126"/>
      <c r="H9" s="126"/>
      <c r="I9" s="126"/>
      <c r="J9" s="126"/>
      <c r="K9" s="126"/>
      <c r="L9" s="126"/>
      <c r="M9" s="126"/>
      <c r="N9" s="127"/>
      <c r="O9" s="30"/>
      <c r="P9" s="31"/>
      <c r="Q9" s="86"/>
      <c r="R9" s="112"/>
      <c r="S9" s="113"/>
      <c r="T9" s="113"/>
      <c r="U9" s="113"/>
      <c r="V9" s="113"/>
      <c r="W9" s="113"/>
      <c r="X9" s="113"/>
      <c r="Y9" s="114"/>
      <c r="Z9" s="5"/>
      <c r="AA9" s="112"/>
      <c r="AB9" s="113"/>
      <c r="AC9" s="113"/>
      <c r="AD9" s="113"/>
      <c r="AE9" s="113"/>
      <c r="AF9" s="113"/>
      <c r="AG9" s="114"/>
      <c r="AH9" s="87"/>
    </row>
    <row r="10" spans="1:35" s="24" customFormat="1" ht="8.25" customHeight="1" thickBot="1" x14ac:dyDescent="0.45">
      <c r="A10" s="21"/>
      <c r="P10" s="25"/>
      <c r="Q10" s="84"/>
      <c r="R10" s="115"/>
      <c r="S10" s="116"/>
      <c r="T10" s="116"/>
      <c r="U10" s="116"/>
      <c r="V10" s="116"/>
      <c r="W10" s="116"/>
      <c r="X10" s="116"/>
      <c r="Y10" s="117"/>
      <c r="Z10" s="5"/>
      <c r="AA10" s="115"/>
      <c r="AB10" s="116"/>
      <c r="AC10" s="116"/>
      <c r="AD10" s="116"/>
      <c r="AE10" s="116"/>
      <c r="AF10" s="116"/>
      <c r="AG10" s="117"/>
      <c r="AH10" s="85"/>
    </row>
    <row r="11" spans="1:35" s="33" customFormat="1" ht="35.15" customHeight="1" thickBot="1" x14ac:dyDescent="0.35">
      <c r="A11" s="26"/>
      <c r="D11" s="28" t="s">
        <v>44</v>
      </c>
      <c r="E11" s="128">
        <v>3151</v>
      </c>
      <c r="F11" s="129"/>
      <c r="G11" s="23"/>
      <c r="H11" s="23"/>
      <c r="I11" s="82" t="s">
        <v>45</v>
      </c>
      <c r="J11" s="165" t="s">
        <v>2</v>
      </c>
      <c r="K11" s="166"/>
      <c r="L11" s="166"/>
      <c r="M11" s="166"/>
      <c r="N11" s="167"/>
      <c r="O11" s="30"/>
      <c r="P11" s="31"/>
      <c r="Q11" s="86"/>
      <c r="R11" s="115"/>
      <c r="S11" s="116"/>
      <c r="T11" s="116"/>
      <c r="U11" s="116"/>
      <c r="V11" s="116"/>
      <c r="W11" s="116"/>
      <c r="X11" s="116"/>
      <c r="Y11" s="117"/>
      <c r="Z11" s="5"/>
      <c r="AA11" s="115"/>
      <c r="AB11" s="116"/>
      <c r="AC11" s="116"/>
      <c r="AD11" s="116"/>
      <c r="AE11" s="116"/>
      <c r="AF11" s="116"/>
      <c r="AG11" s="117"/>
      <c r="AH11" s="87"/>
    </row>
    <row r="12" spans="1:35" s="40" customFormat="1" ht="8.25" customHeight="1" thickBot="1" x14ac:dyDescent="0.35">
      <c r="A12" s="34"/>
      <c r="B12" s="35"/>
      <c r="C12" s="35"/>
      <c r="D12" s="36"/>
      <c r="E12" s="36"/>
      <c r="F12" s="35"/>
      <c r="G12" s="37"/>
      <c r="H12" s="37"/>
      <c r="I12" s="37"/>
      <c r="J12" s="37"/>
      <c r="K12" s="37"/>
      <c r="L12" s="35"/>
      <c r="M12" s="37"/>
      <c r="N12" s="37"/>
      <c r="O12" s="37"/>
      <c r="P12" s="38"/>
      <c r="Q12" s="88"/>
      <c r="R12" s="115"/>
      <c r="S12" s="116"/>
      <c r="T12" s="116"/>
      <c r="U12" s="116"/>
      <c r="V12" s="116"/>
      <c r="W12" s="116"/>
      <c r="X12" s="116"/>
      <c r="Y12" s="117"/>
      <c r="Z12" s="5"/>
      <c r="AA12" s="115"/>
      <c r="AB12" s="116"/>
      <c r="AC12" s="116"/>
      <c r="AD12" s="116"/>
      <c r="AE12" s="116"/>
      <c r="AF12" s="116"/>
      <c r="AG12" s="117"/>
      <c r="AH12" s="89"/>
    </row>
    <row r="13" spans="1:35" s="40" customFormat="1" ht="10.5" customHeight="1" thickBot="1" x14ac:dyDescent="0.35">
      <c r="A13" s="41"/>
      <c r="B13" s="42"/>
      <c r="C13" s="43"/>
      <c r="D13" s="43"/>
      <c r="E13" s="42"/>
      <c r="F13" s="44"/>
      <c r="G13" s="44"/>
      <c r="H13" s="44"/>
      <c r="I13" s="44"/>
      <c r="J13" s="44"/>
      <c r="K13" s="42"/>
      <c r="L13" s="44"/>
      <c r="M13" s="44"/>
      <c r="N13" s="44"/>
      <c r="O13" s="39"/>
      <c r="P13" s="45"/>
      <c r="Q13" s="88"/>
      <c r="R13" s="115"/>
      <c r="S13" s="116"/>
      <c r="T13" s="116"/>
      <c r="U13" s="116"/>
      <c r="V13" s="116"/>
      <c r="W13" s="116"/>
      <c r="X13" s="116"/>
      <c r="Y13" s="117"/>
      <c r="Z13" s="5"/>
      <c r="AA13" s="115"/>
      <c r="AB13" s="116"/>
      <c r="AC13" s="116"/>
      <c r="AD13" s="116"/>
      <c r="AE13" s="116"/>
      <c r="AF13" s="116"/>
      <c r="AG13" s="117"/>
      <c r="AH13" s="89"/>
      <c r="AI13"/>
    </row>
    <row r="14" spans="1:35" s="49" customFormat="1" ht="29.9" customHeight="1" x14ac:dyDescent="0.3">
      <c r="A14" s="46" t="s">
        <v>46</v>
      </c>
      <c r="B14" s="169" t="s">
        <v>47</v>
      </c>
      <c r="C14" s="170"/>
      <c r="D14" s="47" t="s">
        <v>48</v>
      </c>
      <c r="E14" s="47" t="s">
        <v>49</v>
      </c>
      <c r="F14" s="47" t="s">
        <v>50</v>
      </c>
      <c r="G14" s="168" t="s">
        <v>51</v>
      </c>
      <c r="H14" s="168"/>
      <c r="I14" s="168"/>
      <c r="J14" s="168"/>
      <c r="K14" s="168"/>
      <c r="L14" s="168"/>
      <c r="M14" s="168"/>
      <c r="N14" s="168"/>
      <c r="O14" s="168"/>
      <c r="P14" s="48" t="s">
        <v>52</v>
      </c>
      <c r="Q14" s="90"/>
      <c r="R14" s="115"/>
      <c r="S14" s="116"/>
      <c r="T14" s="116"/>
      <c r="U14" s="116"/>
      <c r="V14" s="116"/>
      <c r="W14" s="116"/>
      <c r="X14" s="116"/>
      <c r="Y14" s="117"/>
      <c r="Z14" s="5"/>
      <c r="AA14" s="115"/>
      <c r="AB14" s="116"/>
      <c r="AC14" s="116"/>
      <c r="AD14" s="116"/>
      <c r="AE14" s="116"/>
      <c r="AF14" s="116"/>
      <c r="AG14" s="117"/>
      <c r="AH14" s="91"/>
    </row>
    <row r="15" spans="1:35" ht="25.4" customHeight="1" x14ac:dyDescent="0.3">
      <c r="A15" s="108" t="s">
        <v>86</v>
      </c>
      <c r="B15" s="133">
        <v>1</v>
      </c>
      <c r="C15" s="133"/>
      <c r="D15" s="105" t="s">
        <v>81</v>
      </c>
      <c r="E15" s="106">
        <v>79100</v>
      </c>
      <c r="F15" s="105" t="s">
        <v>82</v>
      </c>
      <c r="G15" s="132" t="s">
        <v>85</v>
      </c>
      <c r="H15" s="133"/>
      <c r="I15" s="133"/>
      <c r="J15" s="133"/>
      <c r="K15" s="133"/>
      <c r="L15" s="133"/>
      <c r="M15" s="133"/>
      <c r="N15" s="133"/>
      <c r="O15" s="134"/>
      <c r="P15" s="105" t="s">
        <v>36</v>
      </c>
      <c r="Q15" s="58"/>
      <c r="R15" s="115"/>
      <c r="S15" s="116"/>
      <c r="T15" s="116"/>
      <c r="U15" s="116"/>
      <c r="V15" s="116"/>
      <c r="W15" s="116"/>
      <c r="X15" s="116"/>
      <c r="Y15" s="117"/>
      <c r="AA15" s="115"/>
      <c r="AB15" s="116"/>
      <c r="AC15" s="116"/>
      <c r="AD15" s="116"/>
      <c r="AE15" s="116"/>
      <c r="AF15" s="116"/>
      <c r="AG15" s="117"/>
      <c r="AH15" s="17"/>
    </row>
    <row r="16" spans="1:35" ht="25.4" customHeight="1" x14ac:dyDescent="0.3">
      <c r="A16" s="108"/>
      <c r="B16" s="133"/>
      <c r="C16" s="133"/>
      <c r="D16" s="105"/>
      <c r="E16" s="106"/>
      <c r="F16" s="105"/>
      <c r="G16" s="132"/>
      <c r="H16" s="133"/>
      <c r="I16" s="133"/>
      <c r="J16" s="133"/>
      <c r="K16" s="133"/>
      <c r="L16" s="133"/>
      <c r="M16" s="133"/>
      <c r="N16" s="133"/>
      <c r="O16" s="134"/>
      <c r="P16" s="105"/>
      <c r="Q16" s="58"/>
      <c r="R16" s="115"/>
      <c r="S16" s="116"/>
      <c r="T16" s="116"/>
      <c r="U16" s="116"/>
      <c r="V16" s="116"/>
      <c r="W16" s="116"/>
      <c r="X16" s="116"/>
      <c r="Y16" s="117"/>
      <c r="AA16" s="115"/>
      <c r="AB16" s="116"/>
      <c r="AC16" s="116"/>
      <c r="AD16" s="116"/>
      <c r="AE16" s="116"/>
      <c r="AF16" s="116"/>
      <c r="AG16" s="117"/>
      <c r="AH16" s="17"/>
    </row>
    <row r="17" spans="1:35" ht="25.4" customHeight="1" x14ac:dyDescent="0.3">
      <c r="A17" s="110"/>
      <c r="B17" s="135"/>
      <c r="C17" s="135"/>
      <c r="D17" s="109"/>
      <c r="E17" s="106"/>
      <c r="F17" s="109"/>
      <c r="G17" s="164"/>
      <c r="H17" s="135"/>
      <c r="I17" s="135"/>
      <c r="J17" s="135"/>
      <c r="K17" s="135"/>
      <c r="L17" s="135"/>
      <c r="M17" s="135"/>
      <c r="N17" s="135"/>
      <c r="O17" s="151"/>
      <c r="P17" s="105"/>
      <c r="Q17" s="58"/>
      <c r="R17" s="115"/>
      <c r="S17" s="116"/>
      <c r="T17" s="116"/>
      <c r="U17" s="116"/>
      <c r="V17" s="116"/>
      <c r="W17" s="116"/>
      <c r="X17" s="116"/>
      <c r="Y17" s="117"/>
      <c r="AA17" s="115"/>
      <c r="AB17" s="116"/>
      <c r="AC17" s="116"/>
      <c r="AD17" s="116"/>
      <c r="AE17" s="116"/>
      <c r="AF17" s="116"/>
      <c r="AG17" s="117"/>
      <c r="AH17" s="17"/>
    </row>
    <row r="18" spans="1:35" ht="25.4" customHeight="1" x14ac:dyDescent="0.3">
      <c r="A18" s="50"/>
      <c r="B18" s="135"/>
      <c r="C18" s="135"/>
      <c r="D18" s="51"/>
      <c r="E18" s="51"/>
      <c r="F18" s="51"/>
      <c r="G18" s="135"/>
      <c r="H18" s="135"/>
      <c r="I18" s="135"/>
      <c r="J18" s="135"/>
      <c r="K18" s="135"/>
      <c r="L18" s="135"/>
      <c r="M18" s="135"/>
      <c r="N18" s="135"/>
      <c r="O18" s="151"/>
      <c r="P18" s="52"/>
      <c r="Q18" s="58"/>
      <c r="R18" s="115"/>
      <c r="S18" s="116"/>
      <c r="T18" s="116"/>
      <c r="U18" s="116"/>
      <c r="V18" s="116"/>
      <c r="W18" s="116"/>
      <c r="X18" s="116"/>
      <c r="Y18" s="117"/>
      <c r="AA18" s="115"/>
      <c r="AB18" s="116"/>
      <c r="AC18" s="116"/>
      <c r="AD18" s="116"/>
      <c r="AE18" s="116"/>
      <c r="AF18" s="116"/>
      <c r="AG18" s="117"/>
      <c r="AH18" s="17"/>
      <c r="AI18"/>
    </row>
    <row r="19" spans="1:35" ht="25.4" customHeight="1" x14ac:dyDescent="0.3">
      <c r="A19" s="50"/>
      <c r="B19" s="135"/>
      <c r="C19" s="135"/>
      <c r="D19" s="51"/>
      <c r="E19" s="51"/>
      <c r="F19" s="51"/>
      <c r="G19" s="135"/>
      <c r="H19" s="135"/>
      <c r="I19" s="135"/>
      <c r="J19" s="135"/>
      <c r="K19" s="135"/>
      <c r="L19" s="135"/>
      <c r="M19" s="135"/>
      <c r="N19" s="135"/>
      <c r="O19" s="151"/>
      <c r="P19" s="52"/>
      <c r="Q19" s="58"/>
      <c r="R19" s="115"/>
      <c r="S19" s="116"/>
      <c r="T19" s="116"/>
      <c r="U19" s="116"/>
      <c r="V19" s="116"/>
      <c r="W19" s="116"/>
      <c r="X19" s="116"/>
      <c r="Y19" s="117"/>
      <c r="AA19" s="115"/>
      <c r="AB19" s="116"/>
      <c r="AC19" s="116"/>
      <c r="AD19" s="116"/>
      <c r="AE19" s="116"/>
      <c r="AF19" s="116"/>
      <c r="AG19" s="117"/>
      <c r="AH19" s="17"/>
      <c r="AI19"/>
    </row>
    <row r="20" spans="1:35" ht="25.4" customHeight="1" x14ac:dyDescent="0.3">
      <c r="A20" s="50"/>
      <c r="B20" s="135"/>
      <c r="C20" s="135"/>
      <c r="D20" s="51"/>
      <c r="E20" s="51"/>
      <c r="F20" s="51"/>
      <c r="G20" s="135"/>
      <c r="H20" s="135"/>
      <c r="I20" s="135"/>
      <c r="J20" s="135"/>
      <c r="K20" s="135"/>
      <c r="L20" s="135"/>
      <c r="M20" s="135"/>
      <c r="N20" s="135"/>
      <c r="O20" s="151"/>
      <c r="P20" s="52"/>
      <c r="Q20" s="58"/>
      <c r="R20" s="115"/>
      <c r="S20" s="116"/>
      <c r="T20" s="116"/>
      <c r="U20" s="116"/>
      <c r="V20" s="116"/>
      <c r="W20" s="116"/>
      <c r="X20" s="116"/>
      <c r="Y20" s="117"/>
      <c r="AA20" s="115"/>
      <c r="AB20" s="116"/>
      <c r="AC20" s="116"/>
      <c r="AD20" s="116"/>
      <c r="AE20" s="116"/>
      <c r="AF20" s="116"/>
      <c r="AG20" s="117"/>
      <c r="AH20" s="17"/>
    </row>
    <row r="21" spans="1:35" ht="25.4" customHeight="1" x14ac:dyDescent="0.3">
      <c r="A21" s="50"/>
      <c r="B21" s="135"/>
      <c r="C21" s="135"/>
      <c r="D21" s="51"/>
      <c r="E21" s="51"/>
      <c r="F21" s="51"/>
      <c r="G21" s="135"/>
      <c r="H21" s="135"/>
      <c r="I21" s="135"/>
      <c r="J21" s="135"/>
      <c r="K21" s="135"/>
      <c r="L21" s="135"/>
      <c r="M21" s="135"/>
      <c r="N21" s="135"/>
      <c r="O21" s="151"/>
      <c r="P21" s="52"/>
      <c r="Q21" s="58"/>
      <c r="R21" s="115"/>
      <c r="S21" s="116"/>
      <c r="T21" s="116"/>
      <c r="U21" s="116"/>
      <c r="V21" s="116"/>
      <c r="W21" s="116"/>
      <c r="X21" s="116"/>
      <c r="Y21" s="117"/>
      <c r="AA21" s="115"/>
      <c r="AB21" s="116"/>
      <c r="AC21" s="116"/>
      <c r="AD21" s="116"/>
      <c r="AE21" s="116"/>
      <c r="AF21" s="116"/>
      <c r="AG21" s="117"/>
      <c r="AH21" s="17"/>
    </row>
    <row r="22" spans="1:35" ht="25.4" customHeight="1" x14ac:dyDescent="0.3">
      <c r="A22" s="50"/>
      <c r="B22" s="135"/>
      <c r="C22" s="135"/>
      <c r="D22" s="51"/>
      <c r="E22" s="51"/>
      <c r="F22" s="51"/>
      <c r="G22" s="135"/>
      <c r="H22" s="135"/>
      <c r="I22" s="135"/>
      <c r="J22" s="135"/>
      <c r="K22" s="135"/>
      <c r="L22" s="135"/>
      <c r="M22" s="135"/>
      <c r="N22" s="135"/>
      <c r="O22" s="151"/>
      <c r="P22" s="52"/>
      <c r="Q22" s="58"/>
      <c r="R22" s="115"/>
      <c r="S22" s="116"/>
      <c r="T22" s="116"/>
      <c r="U22" s="116"/>
      <c r="V22" s="116"/>
      <c r="W22" s="116"/>
      <c r="X22" s="116"/>
      <c r="Y22" s="117"/>
      <c r="AA22" s="115"/>
      <c r="AB22" s="116"/>
      <c r="AC22" s="116"/>
      <c r="AD22" s="116"/>
      <c r="AE22" s="116"/>
      <c r="AF22" s="116"/>
      <c r="AG22" s="117"/>
      <c r="AH22" s="17"/>
    </row>
    <row r="23" spans="1:35" ht="25.4" customHeight="1" x14ac:dyDescent="0.3">
      <c r="A23" s="50"/>
      <c r="B23" s="135"/>
      <c r="C23" s="135"/>
      <c r="D23" s="51"/>
      <c r="E23" s="51"/>
      <c r="F23" s="51"/>
      <c r="G23" s="135"/>
      <c r="H23" s="135"/>
      <c r="I23" s="135"/>
      <c r="J23" s="135"/>
      <c r="K23" s="135"/>
      <c r="L23" s="135"/>
      <c r="M23" s="135"/>
      <c r="N23" s="135"/>
      <c r="O23" s="151"/>
      <c r="P23" s="52"/>
      <c r="Q23" s="58"/>
      <c r="R23" s="115"/>
      <c r="S23" s="116"/>
      <c r="T23" s="116"/>
      <c r="U23" s="116"/>
      <c r="V23" s="116"/>
      <c r="W23" s="116"/>
      <c r="X23" s="116"/>
      <c r="Y23" s="117"/>
      <c r="AA23" s="115"/>
      <c r="AB23" s="116"/>
      <c r="AC23" s="116"/>
      <c r="AD23" s="116"/>
      <c r="AE23" s="116"/>
      <c r="AF23" s="116"/>
      <c r="AG23" s="117"/>
      <c r="AH23" s="17"/>
    </row>
    <row r="24" spans="1:35" ht="25.4" customHeight="1" thickBot="1" x14ac:dyDescent="0.35">
      <c r="A24" s="53"/>
      <c r="B24" s="131"/>
      <c r="C24" s="131"/>
      <c r="D24" s="54"/>
      <c r="E24" s="54"/>
      <c r="F24" s="54"/>
      <c r="G24" s="131"/>
      <c r="H24" s="131"/>
      <c r="I24" s="131"/>
      <c r="J24" s="131"/>
      <c r="K24" s="131"/>
      <c r="L24" s="131"/>
      <c r="M24" s="131"/>
      <c r="N24" s="131"/>
      <c r="O24" s="180"/>
      <c r="P24" s="55"/>
      <c r="Q24" s="58"/>
      <c r="R24" s="115"/>
      <c r="S24" s="116"/>
      <c r="T24" s="116"/>
      <c r="U24" s="116"/>
      <c r="V24" s="116"/>
      <c r="W24" s="116"/>
      <c r="X24" s="116"/>
      <c r="Y24" s="117"/>
      <c r="AA24" s="115"/>
      <c r="AB24" s="116"/>
      <c r="AC24" s="116"/>
      <c r="AD24" s="116"/>
      <c r="AE24" s="116"/>
      <c r="AF24" s="116"/>
      <c r="AG24" s="117"/>
      <c r="AH24" s="17"/>
    </row>
    <row r="25" spans="1:35" ht="25.4" customHeight="1" thickBot="1" x14ac:dyDescent="0.4">
      <c r="A25" s="152" t="s">
        <v>53</v>
      </c>
      <c r="B25" s="153"/>
      <c r="C25" s="153"/>
      <c r="D25" s="153"/>
      <c r="E25" s="107">
        <f>IF(SUM(E15:E24)=0,"",SUM(E15:E24))</f>
        <v>79100</v>
      </c>
      <c r="F25" s="80">
        <f>IF(F15="MXN",SUM(E15:E24)/20,IF(F15="EUR",SUM(E15:E24)*1.22,E25))</f>
        <v>79100</v>
      </c>
      <c r="G25" s="57"/>
      <c r="H25" s="57"/>
      <c r="P25" s="17"/>
      <c r="Q25" s="58"/>
      <c r="R25" s="115"/>
      <c r="S25" s="116"/>
      <c r="T25" s="116"/>
      <c r="U25" s="116"/>
      <c r="V25" s="116"/>
      <c r="W25" s="116"/>
      <c r="X25" s="116"/>
      <c r="Y25" s="117"/>
      <c r="AA25" s="115"/>
      <c r="AB25" s="116"/>
      <c r="AC25" s="116"/>
      <c r="AD25" s="116"/>
      <c r="AE25" s="116"/>
      <c r="AF25" s="116"/>
      <c r="AG25" s="117"/>
      <c r="AH25" s="17"/>
      <c r="AI25"/>
    </row>
    <row r="26" spans="1:35" ht="18" customHeight="1" thickBot="1" x14ac:dyDescent="0.4">
      <c r="A26" s="58"/>
      <c r="B26" s="57"/>
      <c r="C26" s="57"/>
      <c r="D26" s="59"/>
      <c r="E26" s="60"/>
      <c r="F26" s="60"/>
      <c r="G26" s="57"/>
      <c r="H26" s="57"/>
      <c r="P26" s="17"/>
      <c r="Q26" s="58"/>
      <c r="R26" s="115"/>
      <c r="S26" s="116"/>
      <c r="T26" s="116"/>
      <c r="U26" s="116"/>
      <c r="V26" s="116"/>
      <c r="W26" s="116"/>
      <c r="X26" s="116"/>
      <c r="Y26" s="117"/>
      <c r="AA26" s="115"/>
      <c r="AB26" s="116"/>
      <c r="AC26" s="116"/>
      <c r="AD26" s="116"/>
      <c r="AE26" s="116"/>
      <c r="AF26" s="116"/>
      <c r="AG26" s="117"/>
      <c r="AH26" s="17"/>
      <c r="AI26"/>
    </row>
    <row r="27" spans="1:35" ht="46.5" customHeight="1" thickBot="1" x14ac:dyDescent="0.35">
      <c r="A27" s="61"/>
      <c r="B27" s="62" t="s">
        <v>54</v>
      </c>
      <c r="C27" s="136" t="s">
        <v>84</v>
      </c>
      <c r="D27" s="137"/>
      <c r="E27" s="137"/>
      <c r="F27" s="137"/>
      <c r="G27" s="138"/>
      <c r="H27" s="63"/>
      <c r="P27" s="17"/>
      <c r="Q27" s="58"/>
      <c r="R27" s="115"/>
      <c r="S27" s="116"/>
      <c r="T27" s="116"/>
      <c r="U27" s="116"/>
      <c r="V27" s="116"/>
      <c r="W27" s="116"/>
      <c r="X27" s="116"/>
      <c r="Y27" s="117"/>
      <c r="AA27" s="115"/>
      <c r="AB27" s="116"/>
      <c r="AC27" s="116"/>
      <c r="AD27" s="116"/>
      <c r="AE27" s="116"/>
      <c r="AF27" s="116"/>
      <c r="AG27" s="117"/>
      <c r="AH27" s="17"/>
    </row>
    <row r="28" spans="1:35" ht="24.75" customHeight="1" thickBot="1" x14ac:dyDescent="0.6">
      <c r="A28" s="64"/>
      <c r="B28" s="65"/>
      <c r="C28" s="130" t="s">
        <v>56</v>
      </c>
      <c r="D28" s="130"/>
      <c r="E28" s="130"/>
      <c r="F28" s="130"/>
      <c r="G28" s="130"/>
      <c r="H28" s="66"/>
      <c r="I28" s="174" t="s">
        <v>58</v>
      </c>
      <c r="J28" s="175"/>
      <c r="K28" s="175"/>
      <c r="L28" s="175"/>
      <c r="M28" s="175"/>
      <c r="N28" s="175"/>
      <c r="O28" s="175"/>
      <c r="P28" s="176"/>
      <c r="Q28" s="92"/>
      <c r="R28" s="115"/>
      <c r="S28" s="116"/>
      <c r="T28" s="116"/>
      <c r="U28" s="116"/>
      <c r="V28" s="116"/>
      <c r="W28" s="116"/>
      <c r="X28" s="116"/>
      <c r="Y28" s="117"/>
      <c r="AA28" s="115"/>
      <c r="AB28" s="116"/>
      <c r="AC28" s="116"/>
      <c r="AD28" s="116"/>
      <c r="AE28" s="116"/>
      <c r="AF28" s="116"/>
      <c r="AG28" s="117"/>
      <c r="AH28" s="17"/>
    </row>
    <row r="29" spans="1:35" ht="30" customHeight="1" thickBot="1" x14ac:dyDescent="0.35">
      <c r="A29" s="58"/>
      <c r="C29" s="63"/>
      <c r="D29" s="63"/>
      <c r="I29" s="162" t="s">
        <v>59</v>
      </c>
      <c r="J29" s="163"/>
      <c r="K29" s="171" t="s">
        <v>83</v>
      </c>
      <c r="L29" s="172"/>
      <c r="M29" s="172"/>
      <c r="N29" s="172"/>
      <c r="O29" s="172"/>
      <c r="P29" s="173"/>
      <c r="Q29" s="58"/>
      <c r="R29" s="115"/>
      <c r="S29" s="116"/>
      <c r="T29" s="116"/>
      <c r="U29" s="116"/>
      <c r="V29" s="116"/>
      <c r="W29" s="116"/>
      <c r="X29" s="116"/>
      <c r="Y29" s="117"/>
      <c r="Z29" s="83"/>
      <c r="AA29" s="115"/>
      <c r="AB29" s="116"/>
      <c r="AC29" s="116"/>
      <c r="AD29" s="116"/>
      <c r="AE29" s="116"/>
      <c r="AF29" s="116"/>
      <c r="AG29" s="117"/>
      <c r="AH29" s="17"/>
    </row>
    <row r="30" spans="1:35" s="65" customFormat="1" ht="46.5" customHeight="1" thickBot="1" x14ac:dyDescent="0.35">
      <c r="A30" s="58"/>
      <c r="B30" s="62" t="s">
        <v>55</v>
      </c>
      <c r="C30" s="136" t="s">
        <v>79</v>
      </c>
      <c r="D30" s="157"/>
      <c r="E30" s="157"/>
      <c r="F30" s="157"/>
      <c r="G30" s="158"/>
      <c r="H30" s="63"/>
      <c r="I30" s="162"/>
      <c r="J30" s="163"/>
      <c r="K30" s="177"/>
      <c r="L30" s="178"/>
      <c r="M30" s="178"/>
      <c r="N30" s="178"/>
      <c r="O30" s="178"/>
      <c r="P30" s="179"/>
      <c r="Q30" s="93"/>
      <c r="R30" s="115"/>
      <c r="S30" s="116"/>
      <c r="T30" s="116"/>
      <c r="U30" s="116"/>
      <c r="V30" s="116"/>
      <c r="W30" s="116"/>
      <c r="X30" s="116"/>
      <c r="Y30" s="117"/>
      <c r="Z30" s="83"/>
      <c r="AA30" s="115"/>
      <c r="AB30" s="116"/>
      <c r="AC30" s="116"/>
      <c r="AD30" s="116"/>
      <c r="AE30" s="116"/>
      <c r="AF30" s="116"/>
      <c r="AG30" s="117"/>
      <c r="AH30" s="94"/>
    </row>
    <row r="31" spans="1:35" ht="29.9" customHeight="1" thickBot="1" x14ac:dyDescent="0.35">
      <c r="A31" s="69"/>
      <c r="B31" s="70"/>
      <c r="C31" s="154" t="s">
        <v>57</v>
      </c>
      <c r="D31" s="154"/>
      <c r="E31" s="154"/>
      <c r="F31" s="154"/>
      <c r="G31" s="154"/>
      <c r="H31" s="71"/>
      <c r="I31" s="72"/>
      <c r="J31" s="73"/>
      <c r="K31" s="155" t="s">
        <v>60</v>
      </c>
      <c r="L31" s="155"/>
      <c r="M31" s="155"/>
      <c r="N31" s="155"/>
      <c r="O31" s="155"/>
      <c r="P31" s="156"/>
      <c r="Q31" s="64"/>
      <c r="R31" s="118"/>
      <c r="S31" s="119"/>
      <c r="T31" s="119"/>
      <c r="U31" s="119"/>
      <c r="V31" s="119"/>
      <c r="W31" s="119"/>
      <c r="X31" s="119"/>
      <c r="Y31" s="120"/>
      <c r="AA31" s="118"/>
      <c r="AB31" s="119"/>
      <c r="AC31" s="119"/>
      <c r="AD31" s="119"/>
      <c r="AE31" s="119"/>
      <c r="AF31" s="119"/>
      <c r="AG31" s="120"/>
      <c r="AH31" s="17"/>
    </row>
    <row r="32" spans="1:35" ht="41.9" customHeight="1" x14ac:dyDescent="0.5">
      <c r="A32" s="149" t="s">
        <v>61</v>
      </c>
      <c r="B32" s="150"/>
      <c r="C32" s="150"/>
      <c r="D32" s="150"/>
      <c r="E32" s="150"/>
      <c r="F32" s="150"/>
      <c r="G32" s="150"/>
      <c r="H32" s="74"/>
      <c r="I32" s="23"/>
      <c r="M32" s="23"/>
      <c r="N32" s="23"/>
      <c r="O32" s="23"/>
      <c r="P32" s="75"/>
      <c r="Q32" s="64"/>
      <c r="R32" s="74"/>
      <c r="S32" s="74"/>
      <c r="T32" s="74"/>
      <c r="U32" s="74"/>
      <c r="V32" s="74"/>
      <c r="W32" s="74"/>
      <c r="X32" s="74"/>
      <c r="Y32" s="74"/>
      <c r="Z32" s="23"/>
      <c r="AD32" s="23"/>
      <c r="AE32" s="23"/>
      <c r="AF32" s="23"/>
      <c r="AG32" s="23"/>
      <c r="AH32" s="17"/>
    </row>
    <row r="33" spans="1:34" ht="12.9" thickBot="1" x14ac:dyDescent="0.35">
      <c r="A33" s="72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6"/>
      <c r="Q33" s="72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6"/>
    </row>
    <row r="34" spans="1:34" ht="33" customHeight="1" x14ac:dyDescent="0.3"/>
    <row r="39" spans="1:34" ht="33" customHeight="1" x14ac:dyDescent="0.3"/>
    <row r="43" spans="1:34" ht="28.4" customHeight="1" x14ac:dyDescent="0.3"/>
    <row r="44" spans="1:34" ht="17.149999999999999" customHeight="1" x14ac:dyDescent="0.3"/>
    <row r="45" spans="1:34" ht="23.15" customHeight="1" x14ac:dyDescent="0.3"/>
    <row r="46" spans="1:34" ht="17.149999999999999" customHeight="1" x14ac:dyDescent="0.3"/>
    <row r="47" spans="1:34" ht="28.4" customHeight="1" x14ac:dyDescent="0.3"/>
    <row r="48" spans="1:34" ht="17.5" customHeight="1" x14ac:dyDescent="0.3"/>
    <row r="49" ht="17.5" customHeight="1" x14ac:dyDescent="0.3"/>
    <row r="50" ht="14.15" customHeight="1" x14ac:dyDescent="0.3"/>
    <row r="61" ht="15.65" customHeight="1" x14ac:dyDescent="0.3"/>
    <row r="62" ht="14.15" customHeight="1" x14ac:dyDescent="0.3"/>
    <row r="63" ht="14.15" customHeight="1" x14ac:dyDescent="0.3"/>
    <row r="64" ht="23.15" customHeight="1" x14ac:dyDescent="0.3"/>
  </sheetData>
  <customSheetViews>
    <customSheetView guid="{6FA9088C-BFF6-480D-BC9C-94215DF22376}" scale="75" showPageBreaks="1" fitToPage="1" printArea="1" showRuler="0">
      <selection sqref="A1:L19"/>
      <pageMargins left="0.49" right="0.46" top="0.46" bottom="0.77" header="0.28000000000000003" footer="0.5"/>
      <pageSetup scale="96" orientation="landscape" horizontalDpi="4294967293" r:id="rId1"/>
      <headerFooter alignWithMargins="0">
        <oddFooter>&amp;L64 -REPLACEMENT PACKING SLIP&amp;R&amp;9REVISION 7-30-03</oddFooter>
      </headerFooter>
    </customSheetView>
  </customSheetViews>
  <mergeCells count="49">
    <mergeCell ref="C30:G30"/>
    <mergeCell ref="A9:D9"/>
    <mergeCell ref="I29:J30"/>
    <mergeCell ref="G17:O17"/>
    <mergeCell ref="J11:N11"/>
    <mergeCell ref="G14:O14"/>
    <mergeCell ref="B14:C14"/>
    <mergeCell ref="K29:P29"/>
    <mergeCell ref="I28:P28"/>
    <mergeCell ref="K30:P30"/>
    <mergeCell ref="G24:O24"/>
    <mergeCell ref="A32:G32"/>
    <mergeCell ref="B18:C18"/>
    <mergeCell ref="G18:O18"/>
    <mergeCell ref="B19:C19"/>
    <mergeCell ref="G19:O19"/>
    <mergeCell ref="A25:D25"/>
    <mergeCell ref="G20:O20"/>
    <mergeCell ref="B21:C21"/>
    <mergeCell ref="G21:O21"/>
    <mergeCell ref="B22:C22"/>
    <mergeCell ref="B20:C20"/>
    <mergeCell ref="G22:O22"/>
    <mergeCell ref="C31:G31"/>
    <mergeCell ref="B23:C23"/>
    <mergeCell ref="G23:O23"/>
    <mergeCell ref="K31:P31"/>
    <mergeCell ref="D1:M1"/>
    <mergeCell ref="E9:N9"/>
    <mergeCell ref="E11:F11"/>
    <mergeCell ref="C28:G28"/>
    <mergeCell ref="B24:C24"/>
    <mergeCell ref="G15:O15"/>
    <mergeCell ref="B16:C16"/>
    <mergeCell ref="G16:O16"/>
    <mergeCell ref="B17:C17"/>
    <mergeCell ref="C27:G27"/>
    <mergeCell ref="B7:D7"/>
    <mergeCell ref="E7:F7"/>
    <mergeCell ref="B15:C15"/>
    <mergeCell ref="A3:P3"/>
    <mergeCell ref="A4:P4"/>
    <mergeCell ref="T4:X4"/>
    <mergeCell ref="R9:Y31"/>
    <mergeCell ref="U1:AD1"/>
    <mergeCell ref="R3:AG3"/>
    <mergeCell ref="AA9:AG31"/>
    <mergeCell ref="R5:Y7"/>
    <mergeCell ref="AA5:AG7"/>
  </mergeCells>
  <phoneticPr fontId="0" type="noConversion"/>
  <dataValidations count="1">
    <dataValidation type="list" allowBlank="1" showInputMessage="1" showErrorMessage="1" sqref="P18:P24" xr:uid="{00000000-0002-0000-0000-000000000000}">
      <formula1>#REF!</formula1>
    </dataValidation>
  </dataValidations>
  <pageMargins left="0.55118110236220474" right="0.47244094488188976" top="0.51181102362204722" bottom="0.51181102362204722" header="0.27559055118110237" footer="0.23622047244094488"/>
  <pageSetup paperSize="9" scale="35" orientation="landscape" horizontalDpi="1200" verticalDpi="1200" r:id="rId2"/>
  <headerFooter alignWithMargins="0">
    <oddFooter>&amp;LF7-01-23&amp;CRev.:B&amp;R21  Ene 25</oddFooter>
  </headerFooter>
  <ignoredErrors>
    <ignoredError sqref="F25" unlockedFormula="1"/>
  </ignoredErrors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6AB7F73-F129-428D-B340-968E8D751732}">
          <x14:formula1>
            <xm:f>Service!$A$2:$A$20</xm:f>
          </x14:formula1>
          <xm:sqref>J11:N11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0AF55-4F40-43C6-B468-E13FD0F1C6AE}">
  <sheetPr>
    <pageSetUpPr fitToPage="1"/>
  </sheetPr>
  <dimension ref="A1:Z33"/>
  <sheetViews>
    <sheetView showGridLines="0" zoomScale="70" zoomScaleNormal="70" zoomScaleSheetLayoutView="70" zoomScalePageLayoutView="60" workbookViewId="0">
      <selection activeCell="V24" sqref="V24"/>
    </sheetView>
  </sheetViews>
  <sheetFormatPr baseColWidth="10" defaultColWidth="9.15234375" defaultRowHeight="12.45" x14ac:dyDescent="0.3"/>
  <cols>
    <col min="1" max="1" width="14.69140625" style="5" customWidth="1"/>
    <col min="2" max="2" width="4.69140625" style="5" customWidth="1"/>
    <col min="3" max="3" width="7.69140625" style="5" customWidth="1"/>
    <col min="4" max="4" width="14.3046875" style="5" customWidth="1"/>
    <col min="5" max="5" width="25.3828125" style="5" customWidth="1"/>
    <col min="6" max="6" width="13.3828125" style="5" bestFit="1" customWidth="1"/>
    <col min="7" max="8" width="5.3046875" style="5" customWidth="1"/>
    <col min="9" max="9" width="22.3046875" style="5" customWidth="1"/>
    <col min="10" max="10" width="9.69140625" style="5" customWidth="1"/>
    <col min="11" max="11" width="6.3828125" style="5" customWidth="1"/>
    <col min="12" max="12" width="12.3046875" style="5" customWidth="1"/>
    <col min="13" max="13" width="14.15234375" style="5" customWidth="1"/>
    <col min="14" max="14" width="10.69140625" style="5" customWidth="1"/>
    <col min="15" max="15" width="9.15234375" style="5"/>
    <col min="16" max="16" width="16.69140625" style="5" customWidth="1"/>
    <col min="17" max="24" width="9.15234375" style="5"/>
    <col min="25" max="25" width="0" style="5" hidden="1" customWidth="1"/>
    <col min="26" max="16384" width="9.15234375" style="5"/>
  </cols>
  <sheetData>
    <row r="1" spans="1:26" ht="57" customHeight="1" x14ac:dyDescent="0.3">
      <c r="A1" s="1"/>
      <c r="B1" s="2"/>
      <c r="C1" s="2"/>
      <c r="D1" s="124" t="s">
        <v>0</v>
      </c>
      <c r="E1" s="124"/>
      <c r="F1" s="124"/>
      <c r="G1" s="124"/>
      <c r="H1" s="124"/>
      <c r="I1" s="124"/>
      <c r="J1" s="124"/>
      <c r="K1" s="124"/>
      <c r="L1" s="124"/>
      <c r="M1" s="124"/>
      <c r="N1" s="3"/>
      <c r="O1" s="2"/>
      <c r="P1" s="4"/>
    </row>
    <row r="2" spans="1:26" ht="9.75" customHeight="1" thickBot="1" x14ac:dyDescent="0.35">
      <c r="A2" s="6"/>
      <c r="B2" s="7"/>
      <c r="C2" s="7"/>
      <c r="D2" s="8"/>
      <c r="E2" s="8"/>
      <c r="F2" s="8"/>
      <c r="G2" s="8"/>
      <c r="H2" s="8"/>
      <c r="I2" s="9"/>
      <c r="J2" s="9"/>
      <c r="K2" s="9"/>
      <c r="L2" s="9"/>
      <c r="M2" s="9"/>
      <c r="N2" s="9"/>
      <c r="O2" s="9"/>
      <c r="P2" s="10"/>
    </row>
    <row r="3" spans="1:26" s="11" customFormat="1" ht="15.9" thickTop="1" x14ac:dyDescent="0.4">
      <c r="A3" s="143" t="s">
        <v>40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5"/>
      <c r="Y3" s="11" t="s">
        <v>36</v>
      </c>
    </row>
    <row r="4" spans="1:26" s="11" customFormat="1" ht="15.45" thickBot="1" x14ac:dyDescent="0.4">
      <c r="A4" s="146" t="s">
        <v>41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8"/>
      <c r="Y4" s="11" t="s">
        <v>37</v>
      </c>
    </row>
    <row r="5" spans="1:26" ht="9" customHeight="1" thickTop="1" thickBot="1" x14ac:dyDescent="0.45">
      <c r="A5" s="12"/>
      <c r="B5" s="13"/>
      <c r="D5" s="14"/>
      <c r="E5" s="14"/>
      <c r="F5" s="14"/>
      <c r="G5" s="14"/>
      <c r="H5" s="14"/>
      <c r="I5" s="15"/>
      <c r="J5" s="15"/>
      <c r="K5" s="15"/>
      <c r="L5" s="15"/>
      <c r="M5" s="15"/>
      <c r="N5" s="16"/>
      <c r="P5" s="17"/>
    </row>
    <row r="6" spans="1:26" ht="7.5" customHeight="1" thickBot="1" x14ac:dyDescent="0.45">
      <c r="A6" s="1"/>
      <c r="B6" s="18"/>
      <c r="C6" s="18"/>
      <c r="D6" s="2"/>
      <c r="E6" s="19"/>
      <c r="F6" s="19"/>
      <c r="G6" s="19"/>
      <c r="H6" s="19"/>
      <c r="I6" s="19"/>
      <c r="J6" s="20"/>
      <c r="K6" s="20"/>
      <c r="L6" s="20"/>
      <c r="M6" s="20"/>
      <c r="N6" s="20"/>
      <c r="O6" s="20"/>
      <c r="P6" s="4"/>
    </row>
    <row r="7" spans="1:26" s="24" customFormat="1" ht="32.25" customHeight="1" thickBot="1" x14ac:dyDescent="0.7">
      <c r="A7" s="21"/>
      <c r="B7" s="184" t="s">
        <v>42</v>
      </c>
      <c r="C7" s="184"/>
      <c r="D7" s="185"/>
      <c r="E7" s="141"/>
      <c r="F7" s="142"/>
      <c r="G7" s="22"/>
      <c r="H7" s="22"/>
      <c r="I7" s="23"/>
      <c r="J7" s="23"/>
      <c r="K7" s="23"/>
      <c r="L7" s="23"/>
      <c r="M7" s="23"/>
      <c r="N7" s="23"/>
      <c r="P7" s="25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spans="1:26" s="33" customFormat="1" ht="8.25" customHeight="1" thickBot="1" x14ac:dyDescent="0.35">
      <c r="A8" s="26"/>
      <c r="B8" s="27"/>
      <c r="C8" s="27"/>
      <c r="D8" s="27"/>
      <c r="E8" s="27"/>
      <c r="F8" s="27"/>
      <c r="G8" s="28"/>
      <c r="H8" s="28"/>
      <c r="I8" s="29"/>
      <c r="J8" s="30"/>
      <c r="K8" s="30"/>
      <c r="L8" s="30"/>
      <c r="M8" s="30"/>
      <c r="N8" s="30"/>
      <c r="O8" s="30"/>
      <c r="P8" s="31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 s="33" customFormat="1" ht="27.65" customHeight="1" thickBot="1" x14ac:dyDescent="0.55000000000000004">
      <c r="A9" s="159" t="s">
        <v>43</v>
      </c>
      <c r="B9" s="160"/>
      <c r="C9" s="160"/>
      <c r="D9" s="161"/>
      <c r="E9" s="181"/>
      <c r="F9" s="182"/>
      <c r="G9" s="182"/>
      <c r="H9" s="182"/>
      <c r="I9" s="182"/>
      <c r="J9" s="182"/>
      <c r="K9" s="182"/>
      <c r="L9" s="182"/>
      <c r="M9" s="182"/>
      <c r="N9" s="183"/>
      <c r="O9" s="30"/>
      <c r="P9" s="31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s="24" customFormat="1" ht="8.25" customHeight="1" thickBot="1" x14ac:dyDescent="0.45">
      <c r="A10" s="21"/>
      <c r="P10" s="25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spans="1:26" s="33" customFormat="1" ht="35.15" customHeight="1" thickBot="1" x14ac:dyDescent="0.7">
      <c r="A11" s="26"/>
      <c r="D11" s="22" t="s">
        <v>44</v>
      </c>
      <c r="E11" s="141"/>
      <c r="F11" s="142"/>
      <c r="G11" s="23"/>
      <c r="H11" s="23"/>
      <c r="I11" s="82" t="s">
        <v>45</v>
      </c>
      <c r="J11" s="165"/>
      <c r="K11" s="166"/>
      <c r="L11" s="166"/>
      <c r="M11" s="166"/>
      <c r="N11" s="167"/>
      <c r="O11" s="30"/>
      <c r="P11" s="31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s="40" customFormat="1" ht="8.25" customHeight="1" thickBot="1" x14ac:dyDescent="0.35">
      <c r="A12" s="34"/>
      <c r="B12" s="35"/>
      <c r="C12" s="35"/>
      <c r="D12" s="36"/>
      <c r="E12" s="36"/>
      <c r="F12" s="35"/>
      <c r="G12" s="37"/>
      <c r="H12" s="37"/>
      <c r="I12" s="37"/>
      <c r="J12" s="37"/>
      <c r="K12" s="37"/>
      <c r="L12" s="35"/>
      <c r="M12" s="37"/>
      <c r="N12" s="37"/>
      <c r="O12" s="37"/>
      <c r="P12" s="38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s="40" customFormat="1" ht="10.5" customHeight="1" thickBot="1" x14ac:dyDescent="0.35">
      <c r="A13" s="41"/>
      <c r="B13" s="42"/>
      <c r="C13" s="43"/>
      <c r="D13" s="43"/>
      <c r="E13" s="42"/>
      <c r="F13" s="44"/>
      <c r="G13" s="44"/>
      <c r="H13" s="44"/>
      <c r="I13" s="44"/>
      <c r="J13" s="44"/>
      <c r="K13" s="42"/>
      <c r="L13" s="44"/>
      <c r="M13" s="44"/>
      <c r="N13" s="44"/>
      <c r="O13" s="39"/>
      <c r="P13" s="45"/>
      <c r="Q13" s="39"/>
      <c r="R13" s="39"/>
      <c r="S13" s="39"/>
      <c r="T13" s="39"/>
      <c r="U13" s="39"/>
      <c r="V13" s="39"/>
      <c r="W13" s="39"/>
      <c r="X13" s="39"/>
      <c r="Y13" s="39"/>
    </row>
    <row r="14" spans="1:26" s="49" customFormat="1" ht="29.9" customHeight="1" x14ac:dyDescent="0.3">
      <c r="A14" s="46" t="s">
        <v>46</v>
      </c>
      <c r="B14" s="169" t="s">
        <v>47</v>
      </c>
      <c r="C14" s="170"/>
      <c r="D14" s="47" t="s">
        <v>48</v>
      </c>
      <c r="E14" s="47" t="s">
        <v>49</v>
      </c>
      <c r="F14" s="47" t="s">
        <v>50</v>
      </c>
      <c r="G14" s="168" t="s">
        <v>51</v>
      </c>
      <c r="H14" s="168"/>
      <c r="I14" s="168"/>
      <c r="J14" s="168"/>
      <c r="K14" s="168"/>
      <c r="L14" s="168"/>
      <c r="M14" s="168"/>
      <c r="N14" s="168"/>
      <c r="O14" s="168"/>
      <c r="P14" s="48" t="s">
        <v>52</v>
      </c>
    </row>
    <row r="15" spans="1:26" ht="25.4" customHeight="1" x14ac:dyDescent="0.3">
      <c r="A15" s="50"/>
      <c r="B15" s="135"/>
      <c r="C15" s="135"/>
      <c r="D15" s="51"/>
      <c r="E15" s="51"/>
      <c r="F15" s="51"/>
      <c r="G15" s="135"/>
      <c r="H15" s="135"/>
      <c r="I15" s="135"/>
      <c r="J15" s="135"/>
      <c r="K15" s="135"/>
      <c r="L15" s="135"/>
      <c r="M15" s="135"/>
      <c r="N15" s="135"/>
      <c r="O15" s="151"/>
      <c r="P15" s="52"/>
    </row>
    <row r="16" spans="1:26" ht="25.4" customHeight="1" x14ac:dyDescent="0.3">
      <c r="A16" s="50"/>
      <c r="B16" s="135"/>
      <c r="C16" s="135"/>
      <c r="D16" s="51"/>
      <c r="E16" s="51"/>
      <c r="F16" s="51"/>
      <c r="G16" s="135"/>
      <c r="H16" s="135"/>
      <c r="I16" s="135"/>
      <c r="J16" s="135"/>
      <c r="K16" s="135"/>
      <c r="L16" s="135"/>
      <c r="M16" s="135"/>
      <c r="N16" s="135"/>
      <c r="O16" s="151"/>
      <c r="P16" s="52"/>
    </row>
    <row r="17" spans="1:18" ht="25.4" customHeight="1" x14ac:dyDescent="0.3">
      <c r="A17" s="50"/>
      <c r="B17" s="135"/>
      <c r="C17" s="135"/>
      <c r="D17" s="51"/>
      <c r="E17" s="51"/>
      <c r="F17" s="51"/>
      <c r="G17" s="135"/>
      <c r="H17" s="135"/>
      <c r="I17" s="135"/>
      <c r="J17" s="135"/>
      <c r="K17" s="135"/>
      <c r="L17" s="135"/>
      <c r="M17" s="135"/>
      <c r="N17" s="135"/>
      <c r="O17" s="151"/>
      <c r="P17" s="52"/>
    </row>
    <row r="18" spans="1:18" ht="25.4" customHeight="1" x14ac:dyDescent="0.3">
      <c r="A18" s="50"/>
      <c r="B18" s="135"/>
      <c r="C18" s="135"/>
      <c r="D18" s="51"/>
      <c r="E18" s="51"/>
      <c r="F18" s="51"/>
      <c r="G18" s="135"/>
      <c r="H18" s="135"/>
      <c r="I18" s="135"/>
      <c r="J18" s="135"/>
      <c r="K18" s="135"/>
      <c r="L18" s="135"/>
      <c r="M18" s="135"/>
      <c r="N18" s="135"/>
      <c r="O18" s="151"/>
      <c r="P18" s="52"/>
    </row>
    <row r="19" spans="1:18" ht="25.4" customHeight="1" x14ac:dyDescent="0.3">
      <c r="A19" s="50"/>
      <c r="B19" s="135"/>
      <c r="C19" s="135"/>
      <c r="D19" s="51"/>
      <c r="E19" s="51"/>
      <c r="F19" s="51"/>
      <c r="G19" s="135"/>
      <c r="H19" s="135"/>
      <c r="I19" s="135"/>
      <c r="J19" s="135"/>
      <c r="K19" s="135"/>
      <c r="L19" s="135"/>
      <c r="M19" s="135"/>
      <c r="N19" s="135"/>
      <c r="O19" s="151"/>
      <c r="P19" s="52"/>
    </row>
    <row r="20" spans="1:18" ht="25.4" customHeight="1" x14ac:dyDescent="0.3">
      <c r="A20" s="50"/>
      <c r="B20" s="135"/>
      <c r="C20" s="135"/>
      <c r="D20" s="51"/>
      <c r="E20" s="51"/>
      <c r="F20" s="51"/>
      <c r="G20" s="135"/>
      <c r="H20" s="135"/>
      <c r="I20" s="135"/>
      <c r="J20" s="135"/>
      <c r="K20" s="135"/>
      <c r="L20" s="135"/>
      <c r="M20" s="135"/>
      <c r="N20" s="135"/>
      <c r="O20" s="151"/>
      <c r="P20" s="52"/>
    </row>
    <row r="21" spans="1:18" ht="25.4" customHeight="1" x14ac:dyDescent="0.3">
      <c r="A21" s="50"/>
      <c r="B21" s="135"/>
      <c r="C21" s="135"/>
      <c r="D21" s="51"/>
      <c r="E21" s="51"/>
      <c r="F21" s="51"/>
      <c r="G21" s="135"/>
      <c r="H21" s="135"/>
      <c r="I21" s="135"/>
      <c r="J21" s="135"/>
      <c r="K21" s="135"/>
      <c r="L21" s="135"/>
      <c r="M21" s="135"/>
      <c r="N21" s="135"/>
      <c r="O21" s="151"/>
      <c r="P21" s="52"/>
    </row>
    <row r="22" spans="1:18" ht="25.4" customHeight="1" x14ac:dyDescent="0.3">
      <c r="A22" s="50"/>
      <c r="B22" s="135"/>
      <c r="C22" s="135"/>
      <c r="D22" s="51"/>
      <c r="E22" s="51"/>
      <c r="F22" s="51"/>
      <c r="G22" s="135"/>
      <c r="H22" s="135"/>
      <c r="I22" s="135"/>
      <c r="J22" s="135"/>
      <c r="K22" s="135"/>
      <c r="L22" s="135"/>
      <c r="M22" s="135"/>
      <c r="N22" s="135"/>
      <c r="O22" s="151"/>
      <c r="P22" s="52"/>
    </row>
    <row r="23" spans="1:18" ht="25.4" customHeight="1" x14ac:dyDescent="0.3">
      <c r="A23" s="50"/>
      <c r="B23" s="135"/>
      <c r="C23" s="135"/>
      <c r="D23" s="51"/>
      <c r="E23" s="51"/>
      <c r="F23" s="51"/>
      <c r="G23" s="135"/>
      <c r="H23" s="135"/>
      <c r="I23" s="135"/>
      <c r="J23" s="135"/>
      <c r="K23" s="135"/>
      <c r="L23" s="135"/>
      <c r="M23" s="135"/>
      <c r="N23" s="135"/>
      <c r="O23" s="151"/>
      <c r="P23" s="52"/>
    </row>
    <row r="24" spans="1:18" ht="25.4" customHeight="1" thickBot="1" x14ac:dyDescent="0.35">
      <c r="A24" s="53"/>
      <c r="B24" s="131"/>
      <c r="C24" s="131"/>
      <c r="D24" s="54"/>
      <c r="E24" s="54"/>
      <c r="F24" s="54"/>
      <c r="G24" s="131"/>
      <c r="H24" s="131"/>
      <c r="I24" s="131"/>
      <c r="J24" s="131"/>
      <c r="K24" s="131"/>
      <c r="L24" s="131"/>
      <c r="M24" s="131"/>
      <c r="N24" s="131"/>
      <c r="O24" s="180"/>
      <c r="P24" s="55"/>
    </row>
    <row r="25" spans="1:18" ht="25.4" customHeight="1" thickBot="1" x14ac:dyDescent="0.4">
      <c r="A25" s="152" t="s">
        <v>53</v>
      </c>
      <c r="B25" s="153"/>
      <c r="C25" s="153"/>
      <c r="D25" s="153"/>
      <c r="E25" s="56" t="str">
        <f>IF(SUM(E15:E24)=0,"",SUM(E15:E24))</f>
        <v/>
      </c>
      <c r="F25" s="80" t="str">
        <f>IF(F15="MXN",SUM(E15:E24)/20,IF(F15="EUR",SUM(E15:E24)*1.22,E25))</f>
        <v/>
      </c>
      <c r="G25" s="57"/>
      <c r="H25" s="57"/>
      <c r="P25" s="17"/>
    </row>
    <row r="26" spans="1:18" ht="18" customHeight="1" thickBot="1" x14ac:dyDescent="0.4">
      <c r="A26" s="58"/>
      <c r="B26" s="57"/>
      <c r="C26" s="57"/>
      <c r="D26" s="59"/>
      <c r="E26" s="60"/>
      <c r="F26" s="60"/>
      <c r="G26" s="57"/>
      <c r="H26" s="57"/>
      <c r="P26" s="17"/>
    </row>
    <row r="27" spans="1:18" ht="46.5" customHeight="1" thickBot="1" x14ac:dyDescent="0.35">
      <c r="A27" s="61"/>
      <c r="B27" s="62" t="s">
        <v>54</v>
      </c>
      <c r="C27" s="186"/>
      <c r="D27" s="137"/>
      <c r="E27" s="137"/>
      <c r="F27" s="137"/>
      <c r="G27" s="138"/>
      <c r="H27" s="63"/>
      <c r="P27" s="17"/>
    </row>
    <row r="28" spans="1:18" ht="24.75" customHeight="1" thickBot="1" x14ac:dyDescent="0.6">
      <c r="A28" s="64"/>
      <c r="B28" s="65"/>
      <c r="C28" s="130" t="s">
        <v>56</v>
      </c>
      <c r="D28" s="130"/>
      <c r="E28" s="130"/>
      <c r="F28" s="130"/>
      <c r="G28" s="130"/>
      <c r="H28" s="66"/>
      <c r="I28" s="174" t="s">
        <v>58</v>
      </c>
      <c r="J28" s="175"/>
      <c r="K28" s="175"/>
      <c r="L28" s="175"/>
      <c r="M28" s="175"/>
      <c r="N28" s="175"/>
      <c r="O28" s="175"/>
      <c r="P28" s="176"/>
      <c r="Q28" s="67"/>
    </row>
    <row r="29" spans="1:18" ht="30" customHeight="1" thickBot="1" x14ac:dyDescent="0.35">
      <c r="A29" s="58"/>
      <c r="C29" s="63"/>
      <c r="D29" s="63"/>
      <c r="I29" s="162" t="s">
        <v>59</v>
      </c>
      <c r="J29" s="163"/>
      <c r="K29" s="171" t="str">
        <f>IF(F25&lt;10000,"NO APLICA",IFERROR(VLOOKUP(J11,Service!$A:$C,3,0),""))</f>
        <v/>
      </c>
      <c r="L29" s="172"/>
      <c r="M29" s="172"/>
      <c r="N29" s="172"/>
      <c r="O29" s="172"/>
      <c r="P29" s="173"/>
    </row>
    <row r="30" spans="1:18" s="65" customFormat="1" ht="46.5" customHeight="1" thickBot="1" x14ac:dyDescent="0.35">
      <c r="A30" s="58"/>
      <c r="B30" s="62" t="s">
        <v>55</v>
      </c>
      <c r="C30" s="186"/>
      <c r="D30" s="137"/>
      <c r="E30" s="137"/>
      <c r="F30" s="137"/>
      <c r="G30" s="138"/>
      <c r="H30" s="63"/>
      <c r="I30" s="162"/>
      <c r="J30" s="163"/>
      <c r="K30" s="187"/>
      <c r="L30" s="188"/>
      <c r="M30" s="188"/>
      <c r="N30" s="188"/>
      <c r="O30" s="188"/>
      <c r="P30" s="189"/>
      <c r="Q30" s="68"/>
      <c r="R30" s="5"/>
    </row>
    <row r="31" spans="1:18" ht="29.9" customHeight="1" thickBot="1" x14ac:dyDescent="0.35">
      <c r="A31" s="69"/>
      <c r="B31" s="70"/>
      <c r="C31" s="154" t="s">
        <v>57</v>
      </c>
      <c r="D31" s="154"/>
      <c r="E31" s="154"/>
      <c r="F31" s="154"/>
      <c r="G31" s="154"/>
      <c r="H31" s="71"/>
      <c r="I31" s="72"/>
      <c r="J31" s="73"/>
      <c r="K31" s="155" t="s">
        <v>60</v>
      </c>
      <c r="L31" s="155"/>
      <c r="M31" s="155"/>
      <c r="N31" s="155"/>
      <c r="O31" s="155"/>
      <c r="P31" s="156"/>
      <c r="Q31" s="65"/>
      <c r="R31" s="65"/>
    </row>
    <row r="32" spans="1:18" ht="41.9" customHeight="1" x14ac:dyDescent="0.5">
      <c r="A32" s="149" t="s">
        <v>61</v>
      </c>
      <c r="B32" s="150"/>
      <c r="C32" s="150"/>
      <c r="D32" s="150"/>
      <c r="E32" s="150"/>
      <c r="F32" s="150"/>
      <c r="G32" s="150"/>
      <c r="H32" s="74"/>
      <c r="I32" s="23"/>
      <c r="M32" s="23"/>
      <c r="N32" s="23"/>
      <c r="O32" s="23"/>
      <c r="P32" s="75"/>
      <c r="Q32" s="65"/>
    </row>
    <row r="33" spans="1:16" ht="12.9" thickBot="1" x14ac:dyDescent="0.35">
      <c r="A33" s="72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6"/>
    </row>
  </sheetData>
  <mergeCells count="42">
    <mergeCell ref="C31:G31"/>
    <mergeCell ref="K31:P31"/>
    <mergeCell ref="A32:G32"/>
    <mergeCell ref="A25:D25"/>
    <mergeCell ref="C27:G27"/>
    <mergeCell ref="C28:G28"/>
    <mergeCell ref="I28:P28"/>
    <mergeCell ref="I29:J30"/>
    <mergeCell ref="K29:P29"/>
    <mergeCell ref="C30:G30"/>
    <mergeCell ref="K30:P30"/>
    <mergeCell ref="B22:C22"/>
    <mergeCell ref="G22:O22"/>
    <mergeCell ref="B23:C23"/>
    <mergeCell ref="G23:O23"/>
    <mergeCell ref="B24:C24"/>
    <mergeCell ref="G24:O24"/>
    <mergeCell ref="B19:C19"/>
    <mergeCell ref="G19:O19"/>
    <mergeCell ref="B20:C20"/>
    <mergeCell ref="G20:O20"/>
    <mergeCell ref="B21:C21"/>
    <mergeCell ref="G21:O21"/>
    <mergeCell ref="B16:C16"/>
    <mergeCell ref="G16:O16"/>
    <mergeCell ref="B17:C17"/>
    <mergeCell ref="G17:O17"/>
    <mergeCell ref="B18:C18"/>
    <mergeCell ref="G18:O18"/>
    <mergeCell ref="E11:F11"/>
    <mergeCell ref="J11:N11"/>
    <mergeCell ref="B14:C14"/>
    <mergeCell ref="G14:O14"/>
    <mergeCell ref="B15:C15"/>
    <mergeCell ref="G15:O15"/>
    <mergeCell ref="A9:D9"/>
    <mergeCell ref="E9:N9"/>
    <mergeCell ref="D1:M1"/>
    <mergeCell ref="A3:P3"/>
    <mergeCell ref="A4:P4"/>
    <mergeCell ref="B7:D7"/>
    <mergeCell ref="E7:F7"/>
  </mergeCells>
  <dataValidations disablePrompts="1" count="1">
    <dataValidation type="list" allowBlank="1" showInputMessage="1" showErrorMessage="1" sqref="P15:P24" xr:uid="{DDCEFE34-C5C7-46F0-855C-3C12D6859C07}">
      <formula1>$Y$3:$Y$4</formula1>
    </dataValidation>
  </dataValidations>
  <pageMargins left="0.49" right="0.46" top="0.5" bottom="0.52" header="0.28000000000000003" footer="0.25"/>
  <pageSetup scale="68" fitToHeight="0" orientation="landscape" horizontalDpi="4294967293" r:id="rId1"/>
  <headerFooter alignWithMargins="0">
    <oddFooter>&amp;LF7-01-23&amp;CRev.:A&amp;R26 Feb 21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9B86BD55-9763-4AD1-85FB-51F5CEBEA983}">
          <x14:formula1>
            <xm:f>Service!$A$2:$A$20</xm:f>
          </x14:formula1>
          <xm:sqref>J11:N11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showGridLines="0" zoomScale="130" zoomScaleNormal="130" workbookViewId="0">
      <selection activeCell="B26" sqref="B26"/>
    </sheetView>
  </sheetViews>
  <sheetFormatPr baseColWidth="10" defaultColWidth="9.15234375" defaultRowHeight="12.45" x14ac:dyDescent="0.3"/>
  <cols>
    <col min="1" max="1" width="31.3046875" bestFit="1" customWidth="1"/>
    <col min="2" max="2" width="38.3828125" customWidth="1"/>
    <col min="3" max="3" width="44.69140625" customWidth="1"/>
  </cols>
  <sheetData>
    <row r="1" spans="1:3" x14ac:dyDescent="0.3">
      <c r="A1" s="77" t="s">
        <v>1</v>
      </c>
      <c r="B1" s="77" t="s">
        <v>39</v>
      </c>
      <c r="C1" s="77" t="s">
        <v>35</v>
      </c>
    </row>
    <row r="2" spans="1:3" x14ac:dyDescent="0.3">
      <c r="A2" s="78" t="s">
        <v>2</v>
      </c>
      <c r="B2" s="78" t="s">
        <v>12</v>
      </c>
      <c r="C2" s="78" t="s">
        <v>65</v>
      </c>
    </row>
    <row r="3" spans="1:3" x14ac:dyDescent="0.3">
      <c r="A3" s="79" t="s">
        <v>3</v>
      </c>
      <c r="B3" s="79" t="s">
        <v>13</v>
      </c>
      <c r="C3" s="79" t="s">
        <v>66</v>
      </c>
    </row>
    <row r="4" spans="1:3" x14ac:dyDescent="0.3">
      <c r="A4" s="78" t="s">
        <v>4</v>
      </c>
      <c r="B4" s="78" t="s">
        <v>19</v>
      </c>
      <c r="C4" s="78" t="s">
        <v>66</v>
      </c>
    </row>
    <row r="5" spans="1:3" x14ac:dyDescent="0.3">
      <c r="A5" s="79" t="s">
        <v>5</v>
      </c>
      <c r="B5" s="79" t="s">
        <v>20</v>
      </c>
      <c r="C5" s="79" t="s">
        <v>67</v>
      </c>
    </row>
    <row r="6" spans="1:3" x14ac:dyDescent="0.3">
      <c r="A6" s="78" t="s">
        <v>6</v>
      </c>
      <c r="B6" s="78" t="s">
        <v>14</v>
      </c>
      <c r="C6" s="78" t="s">
        <v>68</v>
      </c>
    </row>
    <row r="7" spans="1:3" x14ac:dyDescent="0.3">
      <c r="A7" s="79" t="s">
        <v>21</v>
      </c>
      <c r="B7" s="79" t="s">
        <v>22</v>
      </c>
      <c r="C7" s="79" t="s">
        <v>69</v>
      </c>
    </row>
    <row r="8" spans="1:3" x14ac:dyDescent="0.3">
      <c r="A8" s="78" t="s">
        <v>17</v>
      </c>
      <c r="B8" s="78" t="s">
        <v>23</v>
      </c>
      <c r="C8" s="78" t="s">
        <v>70</v>
      </c>
    </row>
    <row r="9" spans="1:3" x14ac:dyDescent="0.3">
      <c r="A9" s="79" t="s">
        <v>8</v>
      </c>
      <c r="B9" s="79" t="s">
        <v>24</v>
      </c>
      <c r="C9" s="79" t="s">
        <v>71</v>
      </c>
    </row>
    <row r="10" spans="1:3" x14ac:dyDescent="0.3">
      <c r="A10" s="78" t="s">
        <v>9</v>
      </c>
      <c r="B10" s="78" t="s">
        <v>19</v>
      </c>
      <c r="C10" s="78" t="s">
        <v>71</v>
      </c>
    </row>
    <row r="11" spans="1:3" x14ac:dyDescent="0.3">
      <c r="A11" s="79" t="s">
        <v>25</v>
      </c>
      <c r="B11" s="79" t="s">
        <v>26</v>
      </c>
      <c r="C11" s="79" t="s">
        <v>72</v>
      </c>
    </row>
    <row r="12" spans="1:3" x14ac:dyDescent="0.3">
      <c r="A12" s="78" t="s">
        <v>11</v>
      </c>
      <c r="B12" s="78" t="s">
        <v>27</v>
      </c>
      <c r="C12" s="78" t="s">
        <v>71</v>
      </c>
    </row>
    <row r="13" spans="1:3" x14ac:dyDescent="0.3">
      <c r="A13" s="79" t="s">
        <v>16</v>
      </c>
      <c r="B13" s="79" t="s">
        <v>28</v>
      </c>
      <c r="C13" s="79" t="s">
        <v>72</v>
      </c>
    </row>
    <row r="14" spans="1:3" x14ac:dyDescent="0.3">
      <c r="A14" s="78" t="s">
        <v>34</v>
      </c>
      <c r="B14" s="78" t="s">
        <v>31</v>
      </c>
      <c r="C14" s="78" t="s">
        <v>72</v>
      </c>
    </row>
    <row r="15" spans="1:3" x14ac:dyDescent="0.3">
      <c r="A15" s="79" t="s">
        <v>29</v>
      </c>
      <c r="B15" s="79" t="s">
        <v>30</v>
      </c>
      <c r="C15" s="79" t="s">
        <v>70</v>
      </c>
    </row>
    <row r="16" spans="1:3" x14ac:dyDescent="0.3">
      <c r="A16" s="78" t="s">
        <v>18</v>
      </c>
      <c r="B16" s="78" t="s">
        <v>32</v>
      </c>
      <c r="C16" s="78" t="s">
        <v>71</v>
      </c>
    </row>
    <row r="17" spans="1:3" x14ac:dyDescent="0.3">
      <c r="A17" s="79" t="s">
        <v>7</v>
      </c>
      <c r="B17" s="79" t="s">
        <v>62</v>
      </c>
      <c r="C17" s="79" t="s">
        <v>73</v>
      </c>
    </row>
    <row r="18" spans="1:3" x14ac:dyDescent="0.3">
      <c r="A18" s="78" t="s">
        <v>10</v>
      </c>
      <c r="B18" s="78" t="s">
        <v>63</v>
      </c>
      <c r="C18" s="78" t="s">
        <v>72</v>
      </c>
    </row>
    <row r="19" spans="1:3" x14ac:dyDescent="0.3">
      <c r="A19" s="79" t="s">
        <v>15</v>
      </c>
      <c r="B19" s="79" t="s">
        <v>33</v>
      </c>
      <c r="C19" s="79" t="s">
        <v>72</v>
      </c>
    </row>
    <row r="20" spans="1:3" x14ac:dyDescent="0.3">
      <c r="A20" s="78" t="s">
        <v>38</v>
      </c>
      <c r="B20" s="78" t="s">
        <v>64</v>
      </c>
      <c r="C20" s="78" t="s">
        <v>72</v>
      </c>
    </row>
  </sheetData>
  <autoFilter ref="A1:C20" xr:uid="{B9D0B0FF-D09F-4FB6-A91B-6687C8DAB663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3151</vt:lpstr>
      <vt:lpstr>F7-01-23 Explicacion</vt:lpstr>
      <vt:lpstr>Service</vt:lpstr>
      <vt:lpstr>'3151'!Área_de_impresión</vt:lpstr>
      <vt:lpstr>'F7-01-23 Explicacion'!Área_de_impresión</vt:lpstr>
    </vt:vector>
  </TitlesOfParts>
  <Company>American Axle &amp; Manufacturing,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</dc:creator>
  <cp:lastModifiedBy>Jesus Ramírez</cp:lastModifiedBy>
  <cp:lastPrinted>2026-04-15T16:00:33Z</cp:lastPrinted>
  <dcterms:created xsi:type="dcterms:W3CDTF">2003-05-23T13:07:53Z</dcterms:created>
  <dcterms:modified xsi:type="dcterms:W3CDTF">2026-07-17T22:43:38Z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dDocName">
    <vt:lpwstr>AAMDOCTST014878</vt:lpwstr>
  </property>
  <property fmtid="{D5CDD505-2E9C-101B-9397-08002B2CF9AE}" pid="3" name="DISProperties">
    <vt:lpwstr>DISdDocName,DIScgiUrl,DISdUser,DISdID,DISidcName,DISTaskPaneUrl</vt:lpwstr>
  </property>
  <property fmtid="{D5CDD505-2E9C-101B-9397-08002B2CF9AE}" pid="4" name="DIScgiUrl">
    <vt:lpwstr>http://portal.aam.com/cs/idcplg</vt:lpwstr>
  </property>
  <property fmtid="{D5CDD505-2E9C-101B-9397-08002B2CF9AE}" pid="5" name="DISdUser">
    <vt:lpwstr>LasorsN</vt:lpwstr>
  </property>
  <property fmtid="{D5CDD505-2E9C-101B-9397-08002B2CF9AE}" pid="6" name="DISdID">
    <vt:lpwstr>5277</vt:lpwstr>
  </property>
  <property fmtid="{D5CDD505-2E9C-101B-9397-08002B2CF9AE}" pid="7" name="DISidcName">
    <vt:lpwstr>whqlx11aamnet16200</vt:lpwstr>
  </property>
  <property fmtid="{D5CDD505-2E9C-101B-9397-08002B2CF9AE}" pid="8" name="DISTaskPaneUrl">
    <vt:lpwstr>http://portal.aam.com/cs/idcplg?IdcService=DESKTOP_DOC_INFO&amp;dDocName=AAMDOCTST014878&amp;dID=5277&amp;ClientControlled=DocMan,taskpane&amp;coreContentOnly=1</vt:lpwstr>
  </property>
</Properties>
</file>